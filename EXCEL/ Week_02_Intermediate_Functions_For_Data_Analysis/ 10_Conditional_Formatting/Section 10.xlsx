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omePC\OneDrive\Documents\HEALTHCARE DATA SCIENCE JOURNEY\LeadHER Foundation\WEE 1-3 EXCEL FOR DATA ANALYST\WEEK 2 INTERMEDIATE FUNCTIONS FOR DATA ANALYSIS\"/>
    </mc:Choice>
  </mc:AlternateContent>
  <xr:revisionPtr revIDLastSave="0" documentId="13_ncr:1_{24C19402-EB28-4A0C-BC55-52EBBF23CC9C}" xr6:coauthVersionLast="47" xr6:coauthVersionMax="47" xr10:uidLastSave="{00000000-0000-0000-0000-000000000000}"/>
  <bookViews>
    <workbookView xWindow="-110" yWindow="-110" windowWidth="19420" windowHeight="10300" activeTab="1" xr2:uid="{C014295B-0E1A-4410-9417-92701B783E22}"/>
  </bookViews>
  <sheets>
    <sheet name="Sales Rep Data" sheetId="3" r:id="rId1"/>
    <sheet name="Sales Rep Data Formatted" sheetId="4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4" l="1"/>
  <c r="N2" i="4"/>
</calcChain>
</file>

<file path=xl/sharedStrings.xml><?xml version="1.0" encoding="utf-8"?>
<sst xmlns="http://schemas.openxmlformats.org/spreadsheetml/2006/main" count="154" uniqueCount="49">
  <si>
    <t>Sales Rep</t>
  </si>
  <si>
    <t>Region</t>
  </si>
  <si>
    <t>Annual Total</t>
  </si>
  <si>
    <t>Target</t>
  </si>
  <si>
    <t>Achievement (%)</t>
  </si>
  <si>
    <t>Status</t>
  </si>
  <si>
    <t>James Nwosu</t>
  </si>
  <si>
    <t>Central</t>
  </si>
  <si>
    <t>Active</t>
  </si>
  <si>
    <t>Victor Musa</t>
  </si>
  <si>
    <t>East</t>
  </si>
  <si>
    <t>Inactive</t>
  </si>
  <si>
    <t>Kevin Dada</t>
  </si>
  <si>
    <t>Xavier Vincent</t>
  </si>
  <si>
    <t>South</t>
  </si>
  <si>
    <t>Kelechi Kareem</t>
  </si>
  <si>
    <t>Linda Emeka</t>
  </si>
  <si>
    <t>West</t>
  </si>
  <si>
    <t>Patricia Usman</t>
  </si>
  <si>
    <t>Amara Abiodun</t>
  </si>
  <si>
    <t>North</t>
  </si>
  <si>
    <t>Helen Zubair</t>
  </si>
  <si>
    <t>Janet Wole</t>
  </si>
  <si>
    <t>Samuel Peters</t>
  </si>
  <si>
    <t>Deborah Kareem</t>
  </si>
  <si>
    <t>Zara Lawal</t>
  </si>
  <si>
    <t>Emeka Yusuf</t>
  </si>
  <si>
    <t>Tunde Nnamdi</t>
  </si>
  <si>
    <t>Wendy Dada</t>
  </si>
  <si>
    <t>Deborah Nnamdi</t>
  </si>
  <si>
    <t>Emeka Jibril</t>
  </si>
  <si>
    <t>Ernest Vandi</t>
  </si>
  <si>
    <t>Uche Williams</t>
  </si>
  <si>
    <t>Q1 Units</t>
  </si>
  <si>
    <t>Q2 Units</t>
  </si>
  <si>
    <t>Q3 Units</t>
  </si>
  <si>
    <t>Q4 Units</t>
  </si>
  <si>
    <t>Date Occuring</t>
  </si>
  <si>
    <t>State</t>
  </si>
  <si>
    <t>Lagos</t>
  </si>
  <si>
    <t>Delta</t>
  </si>
  <si>
    <t>Oyo</t>
  </si>
  <si>
    <t>Edo</t>
  </si>
  <si>
    <t>Abuja</t>
  </si>
  <si>
    <t>Asaba</t>
  </si>
  <si>
    <t>Q2 Units(Top 10)</t>
  </si>
  <si>
    <t>Q2 Units(Top 10%)</t>
  </si>
  <si>
    <t>Q3 Units(Above Avg)</t>
  </si>
  <si>
    <t>Q3 Units(Below Avg)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</si>
</sst>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99">
    <dxf>
      <font>
        <b/>
        <i/>
      </font>
      <fill>
        <patternFill patternType="mediumGray">
          <fgColor theme="9" tint="0.59996337778862885"/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</font>
      <fill>
        <patternFill patternType="mediumGray">
          <fgColor theme="9" tint="0.79998168889431442"/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3" tint="0.24994659260841701"/>
      </font>
      <fill>
        <patternFill patternType="solid">
          <bgColor theme="3" tint="0.74996185186315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24994659260841701"/>
      </font>
      <fill>
        <patternFill>
          <bgColor theme="7" tint="0.79998168889431442"/>
        </patternFill>
      </fill>
      <border>
        <left style="thin">
          <color theme="9" tint="0.39994506668294322"/>
        </left>
        <right style="thin">
          <color theme="9" tint="0.39994506668294322"/>
        </right>
        <top style="thin">
          <color theme="9" tint="0.39994506668294322"/>
        </top>
        <bottom style="thin">
          <color theme="9" tint="0.39994506668294322"/>
        </bottom>
      </border>
    </dxf>
    <dxf>
      <font>
        <b/>
        <i/>
      </font>
      <fill>
        <patternFill patternType="mediumGray">
          <fgColor theme="9" tint="0.59996337778862885"/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</font>
      <fill>
        <patternFill patternType="mediumGray">
          <fgColor theme="9" tint="0.79998168889431442"/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3" tint="0.24994659260841701"/>
      </font>
      <fill>
        <patternFill patternType="solid">
          <bgColor theme="3" tint="0.74996185186315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3" tint="0.24994659260841701"/>
      </font>
      <fill>
        <patternFill patternType="solid">
          <bgColor theme="3" tint="0.74996185186315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3" tint="0.24994659260841701"/>
      </font>
      <fill>
        <patternFill patternType="solid">
          <bgColor theme="3" tint="0.74996185186315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3" tint="0.24994659260841701"/>
      </font>
      <fill>
        <patternFill patternType="solid">
          <bgColor theme="3" tint="0.74996185186315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3" tint="0.24994659260841701"/>
      </font>
      <fill>
        <patternFill patternType="solid">
          <bgColor theme="3" tint="0.74996185186315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3" tint="0.24994659260841701"/>
      </font>
      <fill>
        <patternFill patternType="solid">
          <bgColor theme="3" tint="0.74996185186315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3" tint="0.24994659260841701"/>
      </font>
      <fill>
        <patternFill patternType="solid">
          <bgColor theme="3" tint="0.74996185186315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3" tint="0.24994659260841701"/>
      </font>
      <fill>
        <patternFill patternType="solid">
          <bgColor theme="3" tint="0.74996185186315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3" tint="0.24994659260841701"/>
      </font>
      <fill>
        <patternFill patternType="solid">
          <bgColor theme="3" tint="0.74996185186315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3" tint="0.24994659260841701"/>
      </font>
      <fill>
        <patternFill patternType="solid">
          <bgColor theme="3" tint="0.74996185186315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3" tint="0.24994659260841701"/>
      </font>
      <fill>
        <patternFill patternType="solid">
          <bgColor theme="3" tint="0.74996185186315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4A848-9CD6-4F0A-8241-0E5CA11E3DE3}">
  <dimension ref="A1:J21"/>
  <sheetViews>
    <sheetView workbookViewId="0">
      <selection activeCell="G5" sqref="G5"/>
    </sheetView>
  </sheetViews>
  <sheetFormatPr defaultRowHeight="14.5" x14ac:dyDescent="0.35"/>
  <cols>
    <col min="1" max="1" width="20.08984375" customWidth="1"/>
    <col min="2" max="2" width="13.81640625" customWidth="1"/>
    <col min="3" max="3" width="13.1796875" customWidth="1"/>
    <col min="4" max="4" width="13.54296875" customWidth="1"/>
    <col min="5" max="5" width="12.81640625" customWidth="1"/>
    <col min="6" max="6" width="13.81640625" customWidth="1"/>
    <col min="7" max="7" width="15" customWidth="1"/>
    <col min="8" max="8" width="11.6328125" customWidth="1"/>
    <col min="9" max="9" width="17.453125" customWidth="1"/>
    <col min="10" max="10" width="13.1796875" customWidth="1"/>
  </cols>
  <sheetData>
    <row r="1" spans="1:10" x14ac:dyDescent="0.35">
      <c r="A1" s="1" t="s">
        <v>0</v>
      </c>
      <c r="B1" s="1" t="s">
        <v>1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2</v>
      </c>
      <c r="H1" s="1" t="s">
        <v>3</v>
      </c>
      <c r="I1" s="1" t="s">
        <v>4</v>
      </c>
      <c r="J1" s="1" t="s">
        <v>5</v>
      </c>
    </row>
    <row r="2" spans="1:10" x14ac:dyDescent="0.35">
      <c r="A2" t="s">
        <v>6</v>
      </c>
      <c r="B2" t="s">
        <v>7</v>
      </c>
      <c r="C2">
        <v>120</v>
      </c>
      <c r="D2">
        <v>95</v>
      </c>
      <c r="E2">
        <v>140</v>
      </c>
      <c r="F2">
        <v>110</v>
      </c>
      <c r="G2">
        <v>465</v>
      </c>
      <c r="H2">
        <v>400</v>
      </c>
      <c r="I2">
        <v>1.1599999999999999</v>
      </c>
      <c r="J2" t="s">
        <v>8</v>
      </c>
    </row>
    <row r="3" spans="1:10" x14ac:dyDescent="0.35">
      <c r="A3" t="s">
        <v>9</v>
      </c>
      <c r="B3" t="s">
        <v>10</v>
      </c>
      <c r="C3">
        <v>85</v>
      </c>
      <c r="D3">
        <v>110</v>
      </c>
      <c r="E3">
        <v>75</v>
      </c>
      <c r="F3">
        <v>90</v>
      </c>
      <c r="G3">
        <v>360</v>
      </c>
      <c r="H3">
        <v>380</v>
      </c>
      <c r="I3">
        <v>0.95</v>
      </c>
      <c r="J3" t="s">
        <v>11</v>
      </c>
    </row>
    <row r="4" spans="1:10" x14ac:dyDescent="0.35">
      <c r="A4" t="s">
        <v>12</v>
      </c>
      <c r="B4" t="s">
        <v>10</v>
      </c>
      <c r="C4">
        <v>65</v>
      </c>
      <c r="D4">
        <v>80</v>
      </c>
      <c r="E4">
        <v>145</v>
      </c>
      <c r="F4">
        <v>125</v>
      </c>
      <c r="G4">
        <v>415</v>
      </c>
      <c r="H4">
        <v>450</v>
      </c>
      <c r="I4">
        <v>0.92</v>
      </c>
      <c r="J4" t="s">
        <v>8</v>
      </c>
    </row>
    <row r="5" spans="1:10" x14ac:dyDescent="0.35">
      <c r="A5" t="s">
        <v>13</v>
      </c>
      <c r="B5" t="s">
        <v>14</v>
      </c>
      <c r="C5">
        <v>105</v>
      </c>
      <c r="D5">
        <v>130</v>
      </c>
      <c r="E5">
        <v>60</v>
      </c>
      <c r="F5">
        <v>115</v>
      </c>
      <c r="G5">
        <v>410</v>
      </c>
      <c r="H5">
        <v>500</v>
      </c>
      <c r="I5">
        <v>0.82</v>
      </c>
      <c r="J5" t="s">
        <v>8</v>
      </c>
    </row>
    <row r="6" spans="1:10" x14ac:dyDescent="0.35">
      <c r="A6" t="s">
        <v>15</v>
      </c>
      <c r="B6" t="s">
        <v>7</v>
      </c>
      <c r="C6">
        <v>90</v>
      </c>
      <c r="D6">
        <v>70</v>
      </c>
      <c r="E6">
        <v>130</v>
      </c>
      <c r="F6">
        <v>105</v>
      </c>
      <c r="G6">
        <v>395</v>
      </c>
      <c r="H6">
        <v>420</v>
      </c>
      <c r="I6">
        <v>0.94</v>
      </c>
      <c r="J6" t="s">
        <v>8</v>
      </c>
    </row>
    <row r="7" spans="1:10" x14ac:dyDescent="0.35">
      <c r="A7" t="s">
        <v>16</v>
      </c>
      <c r="B7" t="s">
        <v>17</v>
      </c>
      <c r="C7">
        <v>110</v>
      </c>
      <c r="D7">
        <v>55</v>
      </c>
      <c r="E7">
        <v>125</v>
      </c>
      <c r="F7">
        <v>95</v>
      </c>
      <c r="G7">
        <v>385</v>
      </c>
      <c r="H7">
        <v>410</v>
      </c>
      <c r="I7">
        <v>0.94</v>
      </c>
      <c r="J7" t="s">
        <v>8</v>
      </c>
    </row>
    <row r="8" spans="1:10" x14ac:dyDescent="0.35">
      <c r="A8" t="s">
        <v>18</v>
      </c>
      <c r="B8" t="s">
        <v>17</v>
      </c>
      <c r="C8">
        <v>145</v>
      </c>
      <c r="D8">
        <v>100</v>
      </c>
      <c r="E8">
        <v>135</v>
      </c>
      <c r="F8">
        <v>80</v>
      </c>
      <c r="G8">
        <v>460</v>
      </c>
      <c r="H8">
        <v>490</v>
      </c>
      <c r="I8">
        <v>0.94</v>
      </c>
      <c r="J8" t="s">
        <v>8</v>
      </c>
    </row>
    <row r="9" spans="1:10" x14ac:dyDescent="0.35">
      <c r="A9" t="s">
        <v>19</v>
      </c>
      <c r="B9" t="s">
        <v>20</v>
      </c>
      <c r="C9">
        <v>50</v>
      </c>
      <c r="D9">
        <v>140</v>
      </c>
      <c r="E9">
        <v>150</v>
      </c>
      <c r="F9">
        <v>120</v>
      </c>
      <c r="G9">
        <v>460</v>
      </c>
      <c r="H9">
        <v>350</v>
      </c>
      <c r="I9">
        <v>1.31</v>
      </c>
      <c r="J9" t="s">
        <v>8</v>
      </c>
    </row>
    <row r="10" spans="1:10" x14ac:dyDescent="0.35">
      <c r="A10" t="s">
        <v>21</v>
      </c>
      <c r="B10" t="s">
        <v>17</v>
      </c>
      <c r="C10">
        <v>135</v>
      </c>
      <c r="D10">
        <v>75</v>
      </c>
      <c r="E10">
        <v>115</v>
      </c>
      <c r="F10">
        <v>100</v>
      </c>
      <c r="G10">
        <v>425</v>
      </c>
      <c r="H10">
        <v>440</v>
      </c>
      <c r="I10">
        <v>0.97</v>
      </c>
      <c r="J10" t="s">
        <v>11</v>
      </c>
    </row>
    <row r="11" spans="1:10" x14ac:dyDescent="0.35">
      <c r="A11" t="s">
        <v>22</v>
      </c>
      <c r="B11" t="s">
        <v>20</v>
      </c>
      <c r="C11">
        <v>140</v>
      </c>
      <c r="D11">
        <v>135</v>
      </c>
      <c r="E11">
        <v>90</v>
      </c>
      <c r="F11">
        <v>85</v>
      </c>
      <c r="G11">
        <v>450</v>
      </c>
      <c r="H11">
        <v>360</v>
      </c>
      <c r="I11">
        <v>1.25</v>
      </c>
      <c r="J11" t="s">
        <v>8</v>
      </c>
    </row>
    <row r="12" spans="1:10" x14ac:dyDescent="0.35">
      <c r="A12" t="s">
        <v>23</v>
      </c>
      <c r="B12" t="s">
        <v>20</v>
      </c>
      <c r="C12">
        <v>45</v>
      </c>
      <c r="D12">
        <v>120</v>
      </c>
      <c r="E12">
        <v>130</v>
      </c>
      <c r="F12">
        <v>95</v>
      </c>
      <c r="G12">
        <v>390</v>
      </c>
      <c r="H12">
        <v>370</v>
      </c>
      <c r="I12">
        <v>1.05</v>
      </c>
      <c r="J12" t="s">
        <v>11</v>
      </c>
    </row>
    <row r="13" spans="1:10" x14ac:dyDescent="0.35">
      <c r="A13" t="s">
        <v>24</v>
      </c>
      <c r="B13" t="s">
        <v>7</v>
      </c>
      <c r="C13">
        <v>60</v>
      </c>
      <c r="D13">
        <v>115</v>
      </c>
      <c r="E13">
        <v>105</v>
      </c>
      <c r="F13">
        <v>70</v>
      </c>
      <c r="G13">
        <v>350</v>
      </c>
      <c r="H13">
        <v>480</v>
      </c>
      <c r="I13">
        <v>0.73</v>
      </c>
      <c r="J13" t="s">
        <v>11</v>
      </c>
    </row>
    <row r="14" spans="1:10" x14ac:dyDescent="0.35">
      <c r="A14" t="s">
        <v>25</v>
      </c>
      <c r="B14" t="s">
        <v>10</v>
      </c>
      <c r="C14">
        <v>125</v>
      </c>
      <c r="D14">
        <v>105</v>
      </c>
      <c r="E14">
        <v>140</v>
      </c>
      <c r="F14">
        <v>130</v>
      </c>
      <c r="G14">
        <v>500</v>
      </c>
      <c r="H14">
        <v>390</v>
      </c>
      <c r="I14">
        <v>1.28</v>
      </c>
      <c r="J14" t="s">
        <v>8</v>
      </c>
    </row>
    <row r="15" spans="1:10" x14ac:dyDescent="0.35">
      <c r="A15" t="s">
        <v>26</v>
      </c>
      <c r="B15" t="s">
        <v>10</v>
      </c>
      <c r="C15">
        <v>115</v>
      </c>
      <c r="D15">
        <v>65</v>
      </c>
      <c r="E15">
        <v>95</v>
      </c>
      <c r="F15">
        <v>100</v>
      </c>
      <c r="G15">
        <v>375</v>
      </c>
      <c r="H15">
        <v>430</v>
      </c>
      <c r="I15">
        <v>0.87</v>
      </c>
      <c r="J15" t="s">
        <v>8</v>
      </c>
    </row>
    <row r="16" spans="1:10" x14ac:dyDescent="0.35">
      <c r="A16" t="s">
        <v>27</v>
      </c>
      <c r="B16" t="s">
        <v>7</v>
      </c>
      <c r="C16">
        <v>130</v>
      </c>
      <c r="D16">
        <v>90</v>
      </c>
      <c r="E16">
        <v>145</v>
      </c>
      <c r="F16">
        <v>55</v>
      </c>
      <c r="G16">
        <v>420</v>
      </c>
      <c r="H16">
        <v>460</v>
      </c>
      <c r="I16">
        <v>0.91</v>
      </c>
      <c r="J16" t="s">
        <v>8</v>
      </c>
    </row>
    <row r="17" spans="1:10" x14ac:dyDescent="0.35">
      <c r="A17" t="s">
        <v>28</v>
      </c>
      <c r="B17" t="s">
        <v>7</v>
      </c>
      <c r="C17">
        <v>150</v>
      </c>
      <c r="D17">
        <v>85</v>
      </c>
      <c r="E17">
        <v>55</v>
      </c>
      <c r="F17">
        <v>75</v>
      </c>
      <c r="G17">
        <v>365</v>
      </c>
      <c r="H17">
        <v>400</v>
      </c>
      <c r="I17">
        <v>0.91</v>
      </c>
      <c r="J17" t="s">
        <v>8</v>
      </c>
    </row>
    <row r="18" spans="1:10" x14ac:dyDescent="0.35">
      <c r="A18" t="s">
        <v>29</v>
      </c>
      <c r="B18" t="s">
        <v>20</v>
      </c>
      <c r="C18">
        <v>100</v>
      </c>
      <c r="D18">
        <v>95</v>
      </c>
      <c r="E18">
        <v>70</v>
      </c>
      <c r="F18">
        <v>140</v>
      </c>
      <c r="G18">
        <v>405</v>
      </c>
      <c r="H18">
        <v>430</v>
      </c>
      <c r="I18">
        <v>0.94</v>
      </c>
      <c r="J18" t="s">
        <v>11</v>
      </c>
    </row>
    <row r="19" spans="1:10" x14ac:dyDescent="0.35">
      <c r="A19" t="s">
        <v>30</v>
      </c>
      <c r="B19" t="s">
        <v>14</v>
      </c>
      <c r="C19">
        <v>70</v>
      </c>
      <c r="D19">
        <v>110</v>
      </c>
      <c r="E19">
        <v>85</v>
      </c>
      <c r="F19">
        <v>120</v>
      </c>
      <c r="G19">
        <v>385</v>
      </c>
      <c r="H19">
        <v>360</v>
      </c>
      <c r="I19">
        <v>1.07</v>
      </c>
      <c r="J19" t="s">
        <v>11</v>
      </c>
    </row>
    <row r="20" spans="1:10" x14ac:dyDescent="0.35">
      <c r="A20" t="s">
        <v>31</v>
      </c>
      <c r="B20" t="s">
        <v>7</v>
      </c>
      <c r="C20">
        <v>140</v>
      </c>
      <c r="D20">
        <v>85</v>
      </c>
      <c r="E20">
        <v>150</v>
      </c>
      <c r="F20">
        <v>135</v>
      </c>
      <c r="G20">
        <v>510</v>
      </c>
      <c r="H20">
        <v>470</v>
      </c>
      <c r="I20">
        <v>1.0900000000000001</v>
      </c>
      <c r="J20" t="s">
        <v>8</v>
      </c>
    </row>
    <row r="21" spans="1:10" x14ac:dyDescent="0.35">
      <c r="A21" t="s">
        <v>32</v>
      </c>
      <c r="B21" t="s">
        <v>10</v>
      </c>
      <c r="C21">
        <v>110</v>
      </c>
      <c r="D21">
        <v>145</v>
      </c>
      <c r="E21">
        <v>100</v>
      </c>
      <c r="F21">
        <v>85</v>
      </c>
      <c r="G21">
        <v>440</v>
      </c>
      <c r="H21">
        <v>360</v>
      </c>
      <c r="I21">
        <v>1.22</v>
      </c>
      <c r="J2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53746-1171-422F-8EAA-90439332B508}">
  <dimension ref="A1:O21"/>
  <sheetViews>
    <sheetView tabSelected="1" workbookViewId="0">
      <selection activeCell="B7" sqref="B7"/>
    </sheetView>
  </sheetViews>
  <sheetFormatPr defaultRowHeight="14.5" x14ac:dyDescent="0.35"/>
  <cols>
    <col min="1" max="1" width="20.08984375" customWidth="1"/>
    <col min="2" max="2" width="13.81640625" customWidth="1"/>
    <col min="3" max="3" width="13.1796875" customWidth="1"/>
    <col min="4" max="4" width="14.7265625" customWidth="1"/>
    <col min="5" max="5" width="16.08984375" customWidth="1"/>
    <col min="6" max="6" width="17.7265625" bestFit="1" customWidth="1"/>
    <col min="7" max="7" width="17.6328125" bestFit="1" customWidth="1"/>
    <col min="8" max="8" width="13.81640625" customWidth="1"/>
    <col min="9" max="9" width="15" customWidth="1"/>
    <col min="10" max="10" width="11.6328125" customWidth="1"/>
    <col min="11" max="11" width="17.453125" customWidth="1"/>
    <col min="12" max="12" width="13.1796875" customWidth="1"/>
    <col min="14" max="14" width="18.36328125" customWidth="1"/>
    <col min="15" max="15" width="10" customWidth="1"/>
  </cols>
  <sheetData>
    <row r="1" spans="1:15" x14ac:dyDescent="0.35">
      <c r="A1" s="1" t="s">
        <v>0</v>
      </c>
      <c r="B1" s="1" t="s">
        <v>1</v>
      </c>
      <c r="C1" s="1" t="s">
        <v>33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36</v>
      </c>
      <c r="I1" s="1" t="s">
        <v>2</v>
      </c>
      <c r="J1" s="1" t="s">
        <v>3</v>
      </c>
      <c r="K1" s="1" t="s">
        <v>4</v>
      </c>
      <c r="L1" s="1" t="s">
        <v>5</v>
      </c>
      <c r="N1" s="1" t="s">
        <v>37</v>
      </c>
      <c r="O1" s="1" t="s">
        <v>38</v>
      </c>
    </row>
    <row r="2" spans="1:15" x14ac:dyDescent="0.35">
      <c r="A2" t="s">
        <v>6</v>
      </c>
      <c r="B2" t="s">
        <v>7</v>
      </c>
      <c r="C2">
        <v>120</v>
      </c>
      <c r="D2">
        <v>95</v>
      </c>
      <c r="E2">
        <v>95</v>
      </c>
      <c r="F2">
        <v>140</v>
      </c>
      <c r="G2">
        <v>140</v>
      </c>
      <c r="H2">
        <v>110</v>
      </c>
      <c r="I2">
        <v>465</v>
      </c>
      <c r="J2">
        <v>400</v>
      </c>
      <c r="K2">
        <v>1.1599999999999999</v>
      </c>
      <c r="L2" t="s">
        <v>8</v>
      </c>
      <c r="N2" s="2">
        <f>DATE(2026,8,31)</f>
        <v>46265</v>
      </c>
      <c r="O2" t="s">
        <v>39</v>
      </c>
    </row>
    <row r="3" spans="1:15" x14ac:dyDescent="0.35">
      <c r="A3" t="s">
        <v>9</v>
      </c>
      <c r="B3" t="s">
        <v>10</v>
      </c>
      <c r="C3">
        <v>85</v>
      </c>
      <c r="D3">
        <v>110</v>
      </c>
      <c r="E3">
        <v>110</v>
      </c>
      <c r="F3">
        <v>75</v>
      </c>
      <c r="G3">
        <v>75</v>
      </c>
      <c r="H3">
        <v>90</v>
      </c>
      <c r="I3">
        <v>360</v>
      </c>
      <c r="J3">
        <v>380</v>
      </c>
      <c r="K3">
        <v>0.95</v>
      </c>
      <c r="L3" t="s">
        <v>11</v>
      </c>
      <c r="N3" s="2">
        <f>DATE(2025,8,31)</f>
        <v>45900</v>
      </c>
      <c r="O3" t="s">
        <v>44</v>
      </c>
    </row>
    <row r="4" spans="1:15" x14ac:dyDescent="0.35">
      <c r="A4" t="s">
        <v>12</v>
      </c>
      <c r="B4" t="s">
        <v>10</v>
      </c>
      <c r="C4">
        <v>65</v>
      </c>
      <c r="D4">
        <v>80</v>
      </c>
      <c r="E4">
        <v>80</v>
      </c>
      <c r="F4">
        <v>145</v>
      </c>
      <c r="G4">
        <v>145</v>
      </c>
      <c r="H4">
        <v>125</v>
      </c>
      <c r="I4">
        <v>415</v>
      </c>
      <c r="J4">
        <v>450</v>
      </c>
      <c r="K4">
        <v>0.92</v>
      </c>
      <c r="L4" t="s">
        <v>8</v>
      </c>
      <c r="O4" t="s">
        <v>41</v>
      </c>
    </row>
    <row r="5" spans="1:15" x14ac:dyDescent="0.35">
      <c r="A5" t="s">
        <v>13</v>
      </c>
      <c r="B5" t="s">
        <v>14</v>
      </c>
      <c r="C5">
        <v>105</v>
      </c>
      <c r="D5">
        <v>130</v>
      </c>
      <c r="E5">
        <v>130</v>
      </c>
      <c r="F5">
        <v>60</v>
      </c>
      <c r="G5">
        <v>60</v>
      </c>
      <c r="H5">
        <v>115</v>
      </c>
      <c r="I5">
        <v>410</v>
      </c>
      <c r="J5">
        <v>500</v>
      </c>
      <c r="K5">
        <v>0.82</v>
      </c>
      <c r="L5" t="s">
        <v>8</v>
      </c>
      <c r="O5" t="s">
        <v>39</v>
      </c>
    </row>
    <row r="6" spans="1:15" x14ac:dyDescent="0.35">
      <c r="A6" t="s">
        <v>15</v>
      </c>
      <c r="B6" t="s">
        <v>7</v>
      </c>
      <c r="C6">
        <v>90</v>
      </c>
      <c r="D6">
        <v>70</v>
      </c>
      <c r="E6">
        <v>70</v>
      </c>
      <c r="F6">
        <v>130</v>
      </c>
      <c r="G6">
        <v>130</v>
      </c>
      <c r="H6">
        <v>105</v>
      </c>
      <c r="I6">
        <v>395</v>
      </c>
      <c r="J6">
        <v>420</v>
      </c>
      <c r="K6">
        <v>0.94</v>
      </c>
      <c r="L6" t="s">
        <v>8</v>
      </c>
      <c r="O6" t="s">
        <v>42</v>
      </c>
    </row>
    <row r="7" spans="1:15" x14ac:dyDescent="0.35">
      <c r="A7" t="s">
        <v>16</v>
      </c>
      <c r="B7" t="s">
        <v>17</v>
      </c>
      <c r="C7">
        <v>110</v>
      </c>
      <c r="D7">
        <v>55</v>
      </c>
      <c r="E7">
        <v>55</v>
      </c>
      <c r="F7">
        <v>125</v>
      </c>
      <c r="G7">
        <v>125</v>
      </c>
      <c r="H7">
        <v>95</v>
      </c>
      <c r="I7">
        <v>385</v>
      </c>
      <c r="J7">
        <v>410</v>
      </c>
      <c r="K7">
        <v>0.94</v>
      </c>
      <c r="L7" t="s">
        <v>8</v>
      </c>
      <c r="O7" t="s">
        <v>39</v>
      </c>
    </row>
    <row r="8" spans="1:15" x14ac:dyDescent="0.35">
      <c r="A8" t="s">
        <v>18</v>
      </c>
      <c r="B8" t="s">
        <v>17</v>
      </c>
      <c r="C8">
        <v>145</v>
      </c>
      <c r="D8">
        <v>100</v>
      </c>
      <c r="E8">
        <v>100</v>
      </c>
      <c r="F8">
        <v>135</v>
      </c>
      <c r="G8">
        <v>135</v>
      </c>
      <c r="H8">
        <v>80</v>
      </c>
      <c r="I8">
        <v>460</v>
      </c>
      <c r="J8">
        <v>490</v>
      </c>
      <c r="K8">
        <v>0.94</v>
      </c>
      <c r="L8" t="s">
        <v>8</v>
      </c>
      <c r="O8" t="s">
        <v>43</v>
      </c>
    </row>
    <row r="9" spans="1:15" x14ac:dyDescent="0.35">
      <c r="A9" t="s">
        <v>19</v>
      </c>
      <c r="B9" t="s">
        <v>20</v>
      </c>
      <c r="C9">
        <v>50</v>
      </c>
      <c r="D9">
        <v>140</v>
      </c>
      <c r="E9">
        <v>140</v>
      </c>
      <c r="F9">
        <v>150</v>
      </c>
      <c r="G9">
        <v>150</v>
      </c>
      <c r="H9">
        <v>120</v>
      </c>
      <c r="I9">
        <v>460</v>
      </c>
      <c r="J9">
        <v>350</v>
      </c>
      <c r="K9">
        <v>1.31</v>
      </c>
      <c r="L9" t="s">
        <v>8</v>
      </c>
      <c r="O9" t="s">
        <v>40</v>
      </c>
    </row>
    <row r="10" spans="1:15" x14ac:dyDescent="0.35">
      <c r="A10" t="s">
        <v>21</v>
      </c>
      <c r="B10" t="s">
        <v>17</v>
      </c>
      <c r="C10">
        <v>135</v>
      </c>
      <c r="D10">
        <v>75</v>
      </c>
      <c r="E10">
        <v>75</v>
      </c>
      <c r="F10">
        <v>115</v>
      </c>
      <c r="G10">
        <v>115</v>
      </c>
      <c r="H10">
        <v>100</v>
      </c>
      <c r="I10">
        <v>425</v>
      </c>
      <c r="J10">
        <v>440</v>
      </c>
      <c r="K10">
        <v>0.97</v>
      </c>
      <c r="L10" t="s">
        <v>11</v>
      </c>
      <c r="O10" t="s">
        <v>41</v>
      </c>
    </row>
    <row r="11" spans="1:15" x14ac:dyDescent="0.35">
      <c r="A11" t="s">
        <v>22</v>
      </c>
      <c r="B11" t="s">
        <v>20</v>
      </c>
      <c r="C11">
        <v>140</v>
      </c>
      <c r="D11">
        <v>135</v>
      </c>
      <c r="E11">
        <v>135</v>
      </c>
      <c r="F11">
        <v>90</v>
      </c>
      <c r="G11">
        <v>90</v>
      </c>
      <c r="H11">
        <v>85</v>
      </c>
      <c r="I11">
        <v>450</v>
      </c>
      <c r="J11">
        <v>360</v>
      </c>
      <c r="K11">
        <v>1.25</v>
      </c>
      <c r="L11" t="s">
        <v>8</v>
      </c>
      <c r="O11" t="s">
        <v>40</v>
      </c>
    </row>
    <row r="12" spans="1:15" x14ac:dyDescent="0.35">
      <c r="A12" t="s">
        <v>23</v>
      </c>
      <c r="B12" t="s">
        <v>20</v>
      </c>
      <c r="C12">
        <v>45</v>
      </c>
      <c r="D12">
        <v>120</v>
      </c>
      <c r="E12">
        <v>120</v>
      </c>
      <c r="F12">
        <v>130</v>
      </c>
      <c r="G12">
        <v>130</v>
      </c>
      <c r="H12">
        <v>95</v>
      </c>
      <c r="I12">
        <v>390</v>
      </c>
      <c r="J12">
        <v>370</v>
      </c>
      <c r="K12">
        <v>1.05</v>
      </c>
      <c r="L12" t="s">
        <v>11</v>
      </c>
    </row>
    <row r="13" spans="1:15" x14ac:dyDescent="0.35">
      <c r="A13" t="s">
        <v>24</v>
      </c>
      <c r="B13" t="s">
        <v>7</v>
      </c>
      <c r="C13">
        <v>60</v>
      </c>
      <c r="D13">
        <v>115</v>
      </c>
      <c r="E13">
        <v>115</v>
      </c>
      <c r="F13">
        <v>105</v>
      </c>
      <c r="G13">
        <v>105</v>
      </c>
      <c r="H13">
        <v>70</v>
      </c>
      <c r="I13">
        <v>350</v>
      </c>
      <c r="J13">
        <v>480</v>
      </c>
      <c r="K13">
        <v>0.73</v>
      </c>
      <c r="L13" t="s">
        <v>11</v>
      </c>
    </row>
    <row r="14" spans="1:15" x14ac:dyDescent="0.35">
      <c r="A14" t="s">
        <v>25</v>
      </c>
      <c r="B14" t="s">
        <v>10</v>
      </c>
      <c r="C14">
        <v>125</v>
      </c>
      <c r="D14">
        <v>105</v>
      </c>
      <c r="E14">
        <v>105</v>
      </c>
      <c r="F14">
        <v>140</v>
      </c>
      <c r="G14">
        <v>140</v>
      </c>
      <c r="H14">
        <v>130</v>
      </c>
      <c r="I14">
        <v>500</v>
      </c>
      <c r="J14">
        <v>390</v>
      </c>
      <c r="K14">
        <v>1.28</v>
      </c>
      <c r="L14" t="s">
        <v>8</v>
      </c>
    </row>
    <row r="15" spans="1:15" x14ac:dyDescent="0.35">
      <c r="A15" t="s">
        <v>26</v>
      </c>
      <c r="B15" t="s">
        <v>10</v>
      </c>
      <c r="C15">
        <v>115</v>
      </c>
      <c r="D15">
        <v>65</v>
      </c>
      <c r="E15">
        <v>65</v>
      </c>
      <c r="F15">
        <v>95</v>
      </c>
      <c r="G15">
        <v>95</v>
      </c>
      <c r="H15">
        <v>100</v>
      </c>
      <c r="I15">
        <v>375</v>
      </c>
      <c r="J15">
        <v>430</v>
      </c>
      <c r="K15">
        <v>0.87</v>
      </c>
      <c r="L15" t="s">
        <v>8</v>
      </c>
    </row>
    <row r="16" spans="1:15" x14ac:dyDescent="0.35">
      <c r="A16" t="s">
        <v>27</v>
      </c>
      <c r="B16" t="s">
        <v>7</v>
      </c>
      <c r="C16">
        <v>130</v>
      </c>
      <c r="D16">
        <v>90</v>
      </c>
      <c r="E16">
        <v>90</v>
      </c>
      <c r="F16">
        <v>145</v>
      </c>
      <c r="G16">
        <v>145</v>
      </c>
      <c r="H16">
        <v>55</v>
      </c>
      <c r="I16">
        <v>420</v>
      </c>
      <c r="J16">
        <v>460</v>
      </c>
      <c r="K16">
        <v>0.91</v>
      </c>
      <c r="L16" t="s">
        <v>8</v>
      </c>
    </row>
    <row r="17" spans="1:12" x14ac:dyDescent="0.35">
      <c r="A17" t="s">
        <v>28</v>
      </c>
      <c r="B17" t="s">
        <v>7</v>
      </c>
      <c r="C17">
        <v>150</v>
      </c>
      <c r="D17">
        <v>85</v>
      </c>
      <c r="E17">
        <v>85</v>
      </c>
      <c r="F17">
        <v>55</v>
      </c>
      <c r="G17">
        <v>55</v>
      </c>
      <c r="H17">
        <v>75</v>
      </c>
      <c r="I17">
        <v>365</v>
      </c>
      <c r="J17">
        <v>400</v>
      </c>
      <c r="K17">
        <v>0.91</v>
      </c>
      <c r="L17" t="s">
        <v>8</v>
      </c>
    </row>
    <row r="18" spans="1:12" x14ac:dyDescent="0.35">
      <c r="A18" t="s">
        <v>29</v>
      </c>
      <c r="B18" t="s">
        <v>20</v>
      </c>
      <c r="C18">
        <v>100</v>
      </c>
      <c r="D18">
        <v>95</v>
      </c>
      <c r="E18">
        <v>95</v>
      </c>
      <c r="F18">
        <v>70</v>
      </c>
      <c r="G18">
        <v>70</v>
      </c>
      <c r="H18">
        <v>140</v>
      </c>
      <c r="I18">
        <v>405</v>
      </c>
      <c r="J18">
        <v>430</v>
      </c>
      <c r="K18">
        <v>0.94</v>
      </c>
      <c r="L18" t="s">
        <v>11</v>
      </c>
    </row>
    <row r="19" spans="1:12" x14ac:dyDescent="0.35">
      <c r="A19" t="s">
        <v>30</v>
      </c>
      <c r="B19" t="s">
        <v>14</v>
      </c>
      <c r="C19">
        <v>70</v>
      </c>
      <c r="D19">
        <v>110</v>
      </c>
      <c r="E19">
        <v>110</v>
      </c>
      <c r="F19">
        <v>85</v>
      </c>
      <c r="G19">
        <v>85</v>
      </c>
      <c r="H19">
        <v>120</v>
      </c>
      <c r="I19">
        <v>385</v>
      </c>
      <c r="J19">
        <v>360</v>
      </c>
      <c r="K19">
        <v>1.07</v>
      </c>
      <c r="L19" t="s">
        <v>11</v>
      </c>
    </row>
    <row r="20" spans="1:12" x14ac:dyDescent="0.35">
      <c r="A20" t="s">
        <v>31</v>
      </c>
      <c r="B20" t="s">
        <v>7</v>
      </c>
      <c r="C20">
        <v>140</v>
      </c>
      <c r="D20">
        <v>85</v>
      </c>
      <c r="E20">
        <v>85</v>
      </c>
      <c r="F20">
        <v>150</v>
      </c>
      <c r="G20">
        <v>150</v>
      </c>
      <c r="H20">
        <v>135</v>
      </c>
      <c r="I20">
        <v>510</v>
      </c>
      <c r="J20">
        <v>470</v>
      </c>
      <c r="K20">
        <v>1.0900000000000001</v>
      </c>
      <c r="L20" t="s">
        <v>8</v>
      </c>
    </row>
    <row r="21" spans="1:12" x14ac:dyDescent="0.35">
      <c r="A21" t="s">
        <v>32</v>
      </c>
      <c r="B21" t="s">
        <v>10</v>
      </c>
      <c r="C21">
        <v>110</v>
      </c>
      <c r="D21">
        <v>145</v>
      </c>
      <c r="E21">
        <v>145</v>
      </c>
      <c r="F21">
        <v>100</v>
      </c>
      <c r="G21">
        <v>100</v>
      </c>
      <c r="H21">
        <v>85</v>
      </c>
      <c r="I21">
        <v>440</v>
      </c>
      <c r="J21">
        <v>360</v>
      </c>
      <c r="K21">
        <v>1.22</v>
      </c>
      <c r="L21" t="s">
        <v>8</v>
      </c>
    </row>
  </sheetData>
  <conditionalFormatting sqref="C1:C1048576">
    <cfRule type="cellIs" dxfId="23" priority="15" operator="between">
      <formula>1</formula>
      <formula>100</formula>
    </cfRule>
    <cfRule type="cellIs" dxfId="22" priority="16" operator="greaterThan">
      <formula>100</formula>
    </cfRule>
  </conditionalFormatting>
  <conditionalFormatting sqref="B1:B1048576">
    <cfRule type="cellIs" dxfId="21" priority="14" operator="equal">
      <formula>"EAST"</formula>
    </cfRule>
  </conditionalFormatting>
  <conditionalFormatting sqref="A1:A1048576">
    <cfRule type="containsText" dxfId="12" priority="13" operator="containsText" text="U">
      <formula>NOT(ISERROR(SEARCH("U",A1)))</formula>
    </cfRule>
  </conditionalFormatting>
  <conditionalFormatting sqref="N1:N1048576 O1">
    <cfRule type="timePeriod" dxfId="20" priority="12" timePeriod="thisMonth">
      <formula>AND(MONTH(N1)=MONTH(TODAY()),YEAR(N1)=YEAR(TODAY()))</formula>
    </cfRule>
  </conditionalFormatting>
  <conditionalFormatting sqref="O1:O1048576">
    <cfRule type="duplicateValues" dxfId="19" priority="11"/>
  </conditionalFormatting>
  <conditionalFormatting sqref="D1:D1048576">
    <cfRule type="top10" dxfId="18" priority="10" rank="10"/>
  </conditionalFormatting>
  <conditionalFormatting sqref="E1:E1048576">
    <cfRule type="top10" dxfId="17" priority="9" percent="1" rank="10"/>
  </conditionalFormatting>
  <conditionalFormatting sqref="F1:F1048576">
    <cfRule type="aboveAverage" dxfId="16" priority="8"/>
  </conditionalFormatting>
  <conditionalFormatting sqref="G1:G1048576">
    <cfRule type="aboveAverage" dxfId="15" priority="7" aboveAverage="0"/>
  </conditionalFormatting>
  <conditionalFormatting sqref="H1:H1048576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{9829B99D-4E71-4059-92C1-3F029DD42577}</x14:id>
        </ext>
      </extLst>
    </cfRule>
  </conditionalFormatting>
  <conditionalFormatting sqref="I1:I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:J1048576">
    <cfRule type="iconSet" priority="3">
      <iconSet iconSet="3Symbols2">
        <cfvo type="percent" val="0"/>
        <cfvo type="percent" val="33"/>
        <cfvo type="percent" val="70"/>
      </iconSet>
    </cfRule>
  </conditionalFormatting>
  <conditionalFormatting sqref="L1:L1048576">
    <cfRule type="expression" dxfId="14" priority="2">
      <formula xml:space="preserve"> $K2 ="Active"</formula>
    </cfRule>
  </conditionalFormatting>
  <conditionalFormatting sqref="L2:L21">
    <cfRule type="expression" dxfId="13" priority="1">
      <formula xml:space="preserve"> $L2="Active"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829B99D-4E71-4059-92C1-3F029DD425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H1:H1048576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Rep Data</vt:lpstr>
      <vt:lpstr>Sales Rep Data Formatted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Odey</dc:creator>
  <cp:lastModifiedBy>JOYCE EBRUPHIYO ETATA</cp:lastModifiedBy>
  <dcterms:created xsi:type="dcterms:W3CDTF">2026-05-31T16:30:34Z</dcterms:created>
  <dcterms:modified xsi:type="dcterms:W3CDTF">2026-08-31T13:10:18Z</dcterms:modified>
</cp:coreProperties>
</file>