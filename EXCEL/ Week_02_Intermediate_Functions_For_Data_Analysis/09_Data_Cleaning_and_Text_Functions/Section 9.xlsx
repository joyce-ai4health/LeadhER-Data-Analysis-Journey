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omePC\OneDrive\Documents\HEALTHCARE DATA SCIENCE JOURNEY\LeadHER Foundation\WEE 1-3 EXCEL FOR DATA ANALYST\WEEK 2 INTERMEDIATE FUNCTIONS FOR DATA ANALYSIS\"/>
    </mc:Choice>
  </mc:AlternateContent>
  <xr:revisionPtr revIDLastSave="0" documentId="13_ncr:1_{EAA6CAB2-9842-4C4E-8380-3B99E02F63D3}" xr6:coauthVersionLast="47" xr6:coauthVersionMax="47" xr10:uidLastSave="{00000000-0000-0000-0000-000000000000}"/>
  <bookViews>
    <workbookView xWindow="-110" yWindow="-110" windowWidth="19420" windowHeight="10300" xr2:uid="{F62C681B-193E-4592-8CCF-5FB05B8067A7}"/>
  </bookViews>
  <sheets>
    <sheet name="Table" sheetId="2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3" i="2" l="1"/>
  <c r="L11" i="2"/>
  <c r="J12" i="2" s="1"/>
  <c r="J11" i="2"/>
  <c r="J10" i="2"/>
  <c r="J9" i="2"/>
  <c r="J8" i="2"/>
  <c r="J7" i="2"/>
  <c r="J6" i="2"/>
  <c r="J5" i="2"/>
  <c r="J4" i="2"/>
  <c r="J3" i="2"/>
  <c r="J2" i="2"/>
</calcChain>
</file>

<file path=xl/sharedStrings.xml><?xml version="1.0" encoding="utf-8"?>
<sst xmlns="http://schemas.openxmlformats.org/spreadsheetml/2006/main" count="117" uniqueCount="117">
  <si>
    <t>Email Address</t>
  </si>
  <si>
    <t>Phone Number</t>
  </si>
  <si>
    <t>Product Code</t>
  </si>
  <si>
    <t>Full Address</t>
  </si>
  <si>
    <t>john.doe@acme.com</t>
  </si>
  <si>
    <t>PRD-100-XL</t>
  </si>
  <si>
    <t>456 Oak Ave, Chicago, IL, 60607</t>
  </si>
  <si>
    <t>jane.smith@beta.org</t>
  </si>
  <si>
    <t>PRD-205-M</t>
  </si>
  <si>
    <t>789 Pine St, Austin, TX, 73301</t>
  </si>
  <si>
    <t>bjohnson@gamma.net</t>
  </si>
  <si>
    <t>PRD-050-S</t>
  </si>
  <si>
    <t>555-456-7890</t>
  </si>
  <si>
    <t>321 Maple Dr, Denver, CO, 80202</t>
  </si>
  <si>
    <t>awilliams@delta.io</t>
  </si>
  <si>
    <t>PRD-312-L</t>
  </si>
  <si>
    <t>159 Elm St, Seattle, WA, 98101</t>
  </si>
  <si>
    <t>charlie.brown@epsilon.com</t>
  </si>
  <si>
    <t>PRD-888-M</t>
  </si>
  <si>
    <t>753 Cedar Ln, Orlando, FL, 32801</t>
  </si>
  <si>
    <t>diana.prince@zeta.co.uk</t>
  </si>
  <si>
    <t>PRD-012-XS</t>
  </si>
  <si>
    <t>951 Walnut St, Boston, MA, 02110</t>
  </si>
  <si>
    <t>ejones@eta.org</t>
  </si>
  <si>
    <t>PRD-999-L</t>
  </si>
  <si>
    <t>555-987-1234</t>
  </si>
  <si>
    <t>852 Birch Blvd, Dallas, TX, 75201</t>
  </si>
  <si>
    <t>f.garcia@theta.com</t>
  </si>
  <si>
    <t>PRD-420-M</t>
  </si>
  <si>
    <t>357 Aspen Way, Phoenix, AZ, 85001</t>
  </si>
  <si>
    <t>gclark@iota.net</t>
  </si>
  <si>
    <t>PRD-176-S</t>
  </si>
  <si>
    <t>159 Fir St, Portland, OR, 97201</t>
  </si>
  <si>
    <t>h.lewis@kappa.co</t>
  </si>
  <si>
    <t>PRD-303-XL</t>
  </si>
  <si>
    <t>555-321-6987</t>
  </si>
  <si>
    <t>753 Willow Ave, Nashville, TN, 37201</t>
  </si>
  <si>
    <t>ian.wright@lambda.org</t>
  </si>
  <si>
    <t>PRD-057-M</t>
  </si>
  <si>
    <t>951 Oakwood Dr, Minneapolis, MN, 55401</t>
  </si>
  <si>
    <t>juliaking@mu.com</t>
  </si>
  <si>
    <t>PRD-884-L</t>
  </si>
  <si>
    <t>852 Cherry St, New Orleans, LA, 70112</t>
  </si>
  <si>
    <t>k.moore@nu.net</t>
  </si>
  <si>
    <t>PRD-012-M</t>
  </si>
  <si>
    <t>555-789-4560</t>
  </si>
  <si>
    <t>123 Vine St, San Diego, CA, 92101</t>
  </si>
  <si>
    <t>lscott@xi.org</t>
  </si>
  <si>
    <t>PRD-239-S</t>
  </si>
  <si>
    <t>456 Palm Blvd, Miami, FL, 33101</t>
  </si>
  <si>
    <t>madams@omicron.com</t>
  </si>
  <si>
    <t>PRD-678-L</t>
  </si>
  <si>
    <t>789 Peachtree Rd, Atlanta, GA, 30301</t>
  </si>
  <si>
    <t>Jane Smith</t>
  </si>
  <si>
    <t>Alice Williams</t>
  </si>
  <si>
    <t>Diana Prince</t>
  </si>
  <si>
    <t>Edward Jones</t>
  </si>
  <si>
    <t>George Clark</t>
  </si>
  <si>
    <t>Hannah Lewis</t>
  </si>
  <si>
    <t>Julia King</t>
  </si>
  <si>
    <t>Kevin Moore</t>
  </si>
  <si>
    <t>Michael Adams</t>
  </si>
  <si>
    <t>Name</t>
  </si>
  <si>
    <t>John Doe</t>
  </si>
  <si>
    <t>Bob Johnson</t>
  </si>
  <si>
    <t>Charlie Brown</t>
  </si>
  <si>
    <t>Fiona Garcia</t>
  </si>
  <si>
    <t>Ian Wright</t>
  </si>
  <si>
    <t>Laura Scott</t>
  </si>
  <si>
    <t>CLEAN</t>
  </si>
  <si>
    <t>CLEAN + TRIM</t>
  </si>
  <si>
    <t>LEFT</t>
  </si>
  <si>
    <t>Text Functions</t>
  </si>
  <si>
    <t>RIGHT</t>
  </si>
  <si>
    <t>MID</t>
  </si>
  <si>
    <t>FIND</t>
  </si>
  <si>
    <t>SEARCH</t>
  </si>
  <si>
    <t>SUBSTITUTE</t>
  </si>
  <si>
    <t>REPLACE</t>
  </si>
  <si>
    <t>VALUE</t>
  </si>
  <si>
    <t>500</t>
  </si>
  <si>
    <t>TEXT</t>
  </si>
  <si>
    <t>TEXTJOIN</t>
  </si>
  <si>
    <t>JOYCE</t>
  </si>
  <si>
    <t>EBRUPHIYO</t>
  </si>
  <si>
    <t>ETATA</t>
  </si>
  <si>
    <t>TEXTSPLIT</t>
  </si>
  <si>
    <t>TEXTBEFORE</t>
  </si>
  <si>
    <t>TEXTAFTER</t>
  </si>
  <si>
    <t xml:space="preserve">Initials </t>
  </si>
  <si>
    <t>JD</t>
  </si>
  <si>
    <t>JS</t>
  </si>
  <si>
    <t>BJ</t>
  </si>
  <si>
    <t>AW</t>
  </si>
  <si>
    <t>CB</t>
  </si>
  <si>
    <t>DP</t>
  </si>
  <si>
    <t>EJ</t>
  </si>
  <si>
    <t>FG</t>
  </si>
  <si>
    <t>GC</t>
  </si>
  <si>
    <t>HL</t>
  </si>
  <si>
    <t>IW</t>
  </si>
  <si>
    <t>JK</t>
  </si>
  <si>
    <t>KM</t>
  </si>
  <si>
    <t>LS</t>
  </si>
  <si>
    <t>MA</t>
  </si>
  <si>
    <t>555-123-4567</t>
  </si>
  <si>
    <t>555-321-7654</t>
  </si>
  <si>
    <t>555-654-1234</t>
  </si>
  <si>
    <t>555-147-2580</t>
  </si>
  <si>
    <t>555-258-1470</t>
  </si>
  <si>
    <t>555-369-1470</t>
  </si>
  <si>
    <t>555-987-6543</t>
  </si>
  <si>
    <t>555-321-4567</t>
  </si>
  <si>
    <t>555-789-1234</t>
  </si>
  <si>
    <t>555-147-9630</t>
  </si>
  <si>
    <t>555-654-3210</t>
  </si>
  <si>
    <t xml:space="preserve">Price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</si>
</sst>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quotePrefix="1"/>
    <xf numFmtId="14" fontId="0" fillId="0" borderId="0" xfId="0" applyNumberFormat="1"/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20408-3FC8-450D-A9AA-1059AD54CAED}">
  <dimension ref="A1:M16"/>
  <sheetViews>
    <sheetView tabSelected="1" workbookViewId="0">
      <selection activeCell="E1" sqref="E1"/>
    </sheetView>
  </sheetViews>
  <sheetFormatPr defaultRowHeight="14.5" x14ac:dyDescent="0.35"/>
  <cols>
    <col min="1" max="2" width="17.26953125" customWidth="1"/>
    <col min="3" max="3" width="26.54296875" bestFit="1" customWidth="1"/>
    <col min="4" max="4" width="12.7265625" bestFit="1" customWidth="1"/>
    <col min="5" max="5" width="18.453125" style="4" customWidth="1"/>
    <col min="6" max="6" width="17.81640625" customWidth="1"/>
    <col min="7" max="7" width="35" customWidth="1"/>
    <col min="8" max="8" width="1.54296875" customWidth="1"/>
    <col min="9" max="9" width="13.54296875" customWidth="1"/>
    <col min="10" max="10" width="21.90625" customWidth="1"/>
    <col min="12" max="12" width="11.90625" customWidth="1"/>
  </cols>
  <sheetData>
    <row r="1" spans="1:13" x14ac:dyDescent="0.35">
      <c r="A1" t="s">
        <v>62</v>
      </c>
      <c r="B1" t="s">
        <v>89</v>
      </c>
      <c r="C1" t="s">
        <v>0</v>
      </c>
      <c r="D1" t="s">
        <v>2</v>
      </c>
      <c r="E1" s="4" t="s">
        <v>116</v>
      </c>
      <c r="F1" t="s">
        <v>1</v>
      </c>
      <c r="G1" t="s">
        <v>3</v>
      </c>
      <c r="I1" s="1" t="s">
        <v>72</v>
      </c>
    </row>
    <row r="2" spans="1:13" x14ac:dyDescent="0.35">
      <c r="A2" t="s">
        <v>63</v>
      </c>
      <c r="B2" t="s">
        <v>90</v>
      </c>
      <c r="C2" t="s">
        <v>4</v>
      </c>
      <c r="D2" t="s">
        <v>5</v>
      </c>
      <c r="E2" s="4">
        <v>1250</v>
      </c>
      <c r="F2" t="s">
        <v>105</v>
      </c>
      <c r="G2" t="s">
        <v>6</v>
      </c>
      <c r="I2" s="1" t="s">
        <v>69</v>
      </c>
      <c r="J2" t="str">
        <f>CLEAN(D2)</f>
        <v>PRD-100-XL</v>
      </c>
    </row>
    <row r="3" spans="1:13" x14ac:dyDescent="0.35">
      <c r="A3" t="s">
        <v>53</v>
      </c>
      <c r="B3" t="s">
        <v>91</v>
      </c>
      <c r="C3" t="s">
        <v>7</v>
      </c>
      <c r="D3" t="s">
        <v>8</v>
      </c>
      <c r="E3" s="4">
        <v>2450</v>
      </c>
      <c r="F3" t="s">
        <v>111</v>
      </c>
      <c r="G3" t="s">
        <v>9</v>
      </c>
      <c r="I3" s="1" t="s">
        <v>70</v>
      </c>
      <c r="J3" t="str">
        <f xml:space="preserve"> TRIM(CLEAN(D2))</f>
        <v>PRD-100-XL</v>
      </c>
    </row>
    <row r="4" spans="1:13" x14ac:dyDescent="0.35">
      <c r="A4" t="s">
        <v>64</v>
      </c>
      <c r="B4" t="s">
        <v>92</v>
      </c>
      <c r="C4" t="s">
        <v>10</v>
      </c>
      <c r="D4" t="s">
        <v>11</v>
      </c>
      <c r="E4" s="4">
        <v>3600</v>
      </c>
      <c r="F4" t="s">
        <v>12</v>
      </c>
      <c r="G4" t="s">
        <v>13</v>
      </c>
      <c r="I4" s="1" t="s">
        <v>71</v>
      </c>
      <c r="J4" t="str">
        <f>LEFT(C2,4)</f>
        <v>john</v>
      </c>
    </row>
    <row r="5" spans="1:13" x14ac:dyDescent="0.35">
      <c r="A5" t="s">
        <v>54</v>
      </c>
      <c r="B5" t="s">
        <v>93</v>
      </c>
      <c r="C5" t="s">
        <v>14</v>
      </c>
      <c r="D5" t="s">
        <v>15</v>
      </c>
      <c r="E5" s="4">
        <v>4200</v>
      </c>
      <c r="F5" t="s">
        <v>106</v>
      </c>
      <c r="G5" t="s">
        <v>16</v>
      </c>
      <c r="I5" s="1" t="s">
        <v>73</v>
      </c>
      <c r="J5" t="str">
        <f>RIGHT(C2,3)</f>
        <v>com</v>
      </c>
    </row>
    <row r="6" spans="1:13" x14ac:dyDescent="0.35">
      <c r="A6" t="s">
        <v>65</v>
      </c>
      <c r="B6" t="s">
        <v>94</v>
      </c>
      <c r="C6" t="s">
        <v>17</v>
      </c>
      <c r="D6" t="s">
        <v>18</v>
      </c>
      <c r="E6" s="4">
        <v>5100.5</v>
      </c>
      <c r="F6" t="s">
        <v>112</v>
      </c>
      <c r="G6" t="s">
        <v>19</v>
      </c>
      <c r="I6" s="1" t="s">
        <v>74</v>
      </c>
      <c r="J6" t="str">
        <f>MID(C2,10,4)</f>
        <v>acme</v>
      </c>
    </row>
    <row r="7" spans="1:13" x14ac:dyDescent="0.35">
      <c r="A7" t="s">
        <v>55</v>
      </c>
      <c r="B7" t="s">
        <v>95</v>
      </c>
      <c r="C7" t="s">
        <v>20</v>
      </c>
      <c r="D7" t="s">
        <v>21</v>
      </c>
      <c r="E7" s="4">
        <v>1800</v>
      </c>
      <c r="F7" t="s">
        <v>107</v>
      </c>
      <c r="G7" t="s">
        <v>22</v>
      </c>
      <c r="I7" s="1" t="s">
        <v>75</v>
      </c>
      <c r="J7">
        <f>FIND("e",C2)</f>
        <v>8</v>
      </c>
    </row>
    <row r="8" spans="1:13" x14ac:dyDescent="0.35">
      <c r="A8" t="s">
        <v>56</v>
      </c>
      <c r="B8" t="s">
        <v>96</v>
      </c>
      <c r="C8" t="s">
        <v>23</v>
      </c>
      <c r="D8" t="s">
        <v>24</v>
      </c>
      <c r="E8" s="4">
        <v>2300</v>
      </c>
      <c r="F8" t="s">
        <v>25</v>
      </c>
      <c r="G8" t="s">
        <v>26</v>
      </c>
      <c r="I8" s="1" t="s">
        <v>76</v>
      </c>
      <c r="J8">
        <f>SEARCH("E",C2)</f>
        <v>8</v>
      </c>
    </row>
    <row r="9" spans="1:13" x14ac:dyDescent="0.35">
      <c r="A9" t="s">
        <v>66</v>
      </c>
      <c r="B9" t="s">
        <v>97</v>
      </c>
      <c r="C9" t="s">
        <v>27</v>
      </c>
      <c r="D9" t="s">
        <v>28</v>
      </c>
      <c r="E9" s="4">
        <v>6750</v>
      </c>
      <c r="F9" t="s">
        <v>113</v>
      </c>
      <c r="G9" t="s">
        <v>29</v>
      </c>
      <c r="I9" s="1" t="s">
        <v>77</v>
      </c>
      <c r="J9" t="str">
        <f>SUBSTITUTE(C2,"com","org")</f>
        <v>john.doe@acme.org</v>
      </c>
    </row>
    <row r="10" spans="1:13" x14ac:dyDescent="0.35">
      <c r="A10" t="s">
        <v>57</v>
      </c>
      <c r="B10" t="s">
        <v>98</v>
      </c>
      <c r="C10" t="s">
        <v>30</v>
      </c>
      <c r="D10" t="s">
        <v>31</v>
      </c>
      <c r="E10" s="4">
        <v>4200</v>
      </c>
      <c r="F10" t="s">
        <v>108</v>
      </c>
      <c r="G10" t="s">
        <v>32</v>
      </c>
      <c r="I10" s="1" t="s">
        <v>78</v>
      </c>
      <c r="J10" t="str">
        <f>REPLACE(C2,10,4,"google")</f>
        <v>john.doe@google.com</v>
      </c>
    </row>
    <row r="11" spans="1:13" x14ac:dyDescent="0.35">
      <c r="A11" t="s">
        <v>58</v>
      </c>
      <c r="B11" t="s">
        <v>99</v>
      </c>
      <c r="C11" t="s">
        <v>33</v>
      </c>
      <c r="D11" t="s">
        <v>34</v>
      </c>
      <c r="E11" s="4">
        <v>3800</v>
      </c>
      <c r="F11" t="s">
        <v>35</v>
      </c>
      <c r="G11" t="s">
        <v>36</v>
      </c>
      <c r="I11" s="1" t="s">
        <v>79</v>
      </c>
      <c r="J11">
        <f>VALUE(K11)</f>
        <v>500</v>
      </c>
      <c r="K11" s="2" t="s">
        <v>80</v>
      </c>
      <c r="L11" s="3">
        <f>DATE(2026,6,1)</f>
        <v>46174</v>
      </c>
    </row>
    <row r="12" spans="1:13" x14ac:dyDescent="0.35">
      <c r="A12" t="s">
        <v>67</v>
      </c>
      <c r="B12" t="s">
        <v>100</v>
      </c>
      <c r="C12" t="s">
        <v>37</v>
      </c>
      <c r="D12" t="s">
        <v>38</v>
      </c>
      <c r="E12" s="4">
        <v>2250</v>
      </c>
      <c r="F12" t="s">
        <v>114</v>
      </c>
      <c r="G12" t="s">
        <v>39</v>
      </c>
      <c r="I12" s="1" t="s">
        <v>81</v>
      </c>
      <c r="J12" t="str">
        <f>TEXT(L11,"mmmm")</f>
        <v>June</v>
      </c>
      <c r="K12" s="3"/>
    </row>
    <row r="13" spans="1:13" x14ac:dyDescent="0.35">
      <c r="A13" t="s">
        <v>59</v>
      </c>
      <c r="B13" t="s">
        <v>101</v>
      </c>
      <c r="C13" t="s">
        <v>40</v>
      </c>
      <c r="D13" t="s">
        <v>41</v>
      </c>
      <c r="E13" s="4">
        <v>5500</v>
      </c>
      <c r="F13" t="s">
        <v>109</v>
      </c>
      <c r="G13" t="s">
        <v>42</v>
      </c>
      <c r="I13" s="1" t="s">
        <v>82</v>
      </c>
      <c r="J13" t="str">
        <f>_xlfn.TEXTJOIN(" ",TRUE,K13:M13)</f>
        <v>JOYCE EBRUPHIYO ETATA</v>
      </c>
      <c r="K13" t="s">
        <v>83</v>
      </c>
      <c r="L13" t="s">
        <v>84</v>
      </c>
      <c r="M13" t="s">
        <v>85</v>
      </c>
    </row>
    <row r="14" spans="1:13" x14ac:dyDescent="0.35">
      <c r="A14" t="s">
        <v>60</v>
      </c>
      <c r="B14" t="s">
        <v>102</v>
      </c>
      <c r="C14" t="s">
        <v>43</v>
      </c>
      <c r="D14" t="s">
        <v>44</v>
      </c>
      <c r="E14" s="4">
        <v>1900</v>
      </c>
      <c r="F14" t="s">
        <v>45</v>
      </c>
      <c r="G14" t="s">
        <v>46</v>
      </c>
      <c r="I14" s="1" t="s">
        <v>86</v>
      </c>
    </row>
    <row r="15" spans="1:13" x14ac:dyDescent="0.35">
      <c r="A15" t="s">
        <v>68</v>
      </c>
      <c r="B15" t="s">
        <v>103</v>
      </c>
      <c r="C15" t="s">
        <v>47</v>
      </c>
      <c r="D15" t="s">
        <v>48</v>
      </c>
      <c r="E15" s="4">
        <v>7200</v>
      </c>
      <c r="F15" t="s">
        <v>115</v>
      </c>
      <c r="G15" t="s">
        <v>49</v>
      </c>
      <c r="I15" s="1" t="s">
        <v>87</v>
      </c>
    </row>
    <row r="16" spans="1:13" x14ac:dyDescent="0.35">
      <c r="A16" t="s">
        <v>61</v>
      </c>
      <c r="B16" t="s">
        <v>104</v>
      </c>
      <c r="C16" t="s">
        <v>50</v>
      </c>
      <c r="D16" t="s">
        <v>51</v>
      </c>
      <c r="E16" s="4">
        <v>8000</v>
      </c>
      <c r="F16" t="s">
        <v>110</v>
      </c>
      <c r="G16" t="s">
        <v>52</v>
      </c>
      <c r="I16" s="1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Odey</dc:creator>
  <cp:lastModifiedBy>JOYCE EBRUPHIYO ETATA</cp:lastModifiedBy>
  <dcterms:created xsi:type="dcterms:W3CDTF">2026-05-31T16:28:46Z</dcterms:created>
  <dcterms:modified xsi:type="dcterms:W3CDTF">2026-08-31T08:41:30Z</dcterms:modified>
</cp:coreProperties>
</file>