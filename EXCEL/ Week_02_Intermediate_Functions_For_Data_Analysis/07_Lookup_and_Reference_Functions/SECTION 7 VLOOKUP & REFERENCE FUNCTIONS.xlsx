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 1-3 EXCEL FOR DATA ANALYST\WEEK 2 INTERMEDIATE FUNCTIONS FOR DATA ANALYSIS\"/>
    </mc:Choice>
  </mc:AlternateContent>
  <xr:revisionPtr revIDLastSave="0" documentId="13_ncr:1_{3CA2C391-F505-4CD3-B2F7-8F97B742D85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actice Data" sheetId="1" r:id="rId1"/>
    <sheet name="Product" sheetId="2" r:id="rId2"/>
    <sheet name="Department Reference" sheetId="3" r:id="rId3"/>
    <sheet name="Monthly Sales" sheetId="4" r:id="rId4"/>
  </sheets>
  <definedNames>
    <definedName name="_xlnm._FilterDatabase" localSheetId="0" hidden="1">'Practice Data'!$A$1:$F$11</definedName>
    <definedName name="_xlnm._FilterDatabase" localSheetId="1" hidden="1">Product!$A$1:$E$5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E1" i="4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C11" i="1"/>
  <c r="C10" i="1"/>
  <c r="C9" i="1"/>
  <c r="C8" i="1"/>
  <c r="C7" i="1"/>
  <c r="C6" i="1"/>
  <c r="C5" i="1"/>
  <c r="C4" i="1"/>
  <c r="C3" i="1"/>
  <c r="G2" i="1"/>
  <c r="C2" i="1"/>
  <c r="B6" i="2"/>
  <c r="E3" i="4" a="1"/>
  <c r="E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<sst xmlns="http://schemas.openxmlformats.org/spreadsheetml/2006/main" count="92" uniqueCount="51">
  <si>
    <t>Month</t>
  </si>
  <si>
    <t>Jan</t>
  </si>
  <si>
    <t>Feb</t>
  </si>
  <si>
    <t>Mar</t>
  </si>
  <si>
    <t>Apr</t>
  </si>
  <si>
    <t>Product A</t>
  </si>
  <si>
    <t>Product B</t>
  </si>
  <si>
    <t>FullName</t>
  </si>
  <si>
    <t>Department ID</t>
  </si>
  <si>
    <t>Department Name</t>
  </si>
  <si>
    <t>Office</t>
  </si>
  <si>
    <t>Salary</t>
  </si>
  <si>
    <t>JoinYear</t>
  </si>
  <si>
    <t>Department</t>
  </si>
  <si>
    <t>Bonus %</t>
  </si>
  <si>
    <t>Manager</t>
  </si>
  <si>
    <t>Budget</t>
  </si>
  <si>
    <t>Alice Brown</t>
  </si>
  <si>
    <t>DT103</t>
  </si>
  <si>
    <t>NYC</t>
  </si>
  <si>
    <t>DT101</t>
  </si>
  <si>
    <t>HR</t>
  </si>
  <si>
    <t>Lisa Park</t>
  </si>
  <si>
    <t>Bob Smith</t>
  </si>
  <si>
    <t>DT102</t>
  </si>
  <si>
    <t>LA</t>
  </si>
  <si>
    <t>IT</t>
  </si>
  <si>
    <t>Mike Ross</t>
  </si>
  <si>
    <t>Carol White</t>
  </si>
  <si>
    <t>Sales</t>
  </si>
  <si>
    <t>Sarah Chen</t>
  </si>
  <si>
    <t>David Jones</t>
  </si>
  <si>
    <t>DT104</t>
  </si>
  <si>
    <t>Finance</t>
  </si>
  <si>
    <t>Anna Klein</t>
  </si>
  <si>
    <t>Emma Davis</t>
  </si>
  <si>
    <t>Chicago</t>
  </si>
  <si>
    <t>Frank Miller</t>
  </si>
  <si>
    <t>Grace Lee</t>
  </si>
  <si>
    <t>Henry Wilson</t>
  </si>
  <si>
    <t>Irene Adams</t>
  </si>
  <si>
    <t>Jack Thomas</t>
  </si>
  <si>
    <t>MATCH + INDEX</t>
  </si>
  <si>
    <t>XLOOKUP</t>
  </si>
  <si>
    <t>INDEX</t>
  </si>
  <si>
    <t>Total Sales</t>
  </si>
  <si>
    <t>May</t>
  </si>
  <si>
    <t>Jun</t>
  </si>
  <si>
    <t>Choose</t>
  </si>
  <si>
    <t>INDIRECT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</si>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</sst>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2" fillId="0" borderId="0" xfId="0" applyFon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opLeftCell="C1" workbookViewId="0">
      <pane ySplit="1" topLeftCell="A2" activePane="bottomLeft" state="frozen"/>
      <selection pane="bottomLeft" activeCell="G13" sqref="G13"/>
    </sheetView>
  </sheetViews>
  <sheetFormatPr defaultRowHeight="14.5" x14ac:dyDescent="0.35"/>
  <cols>
    <col min="1" max="1" width="18" customWidth="1"/>
    <col min="2" max="2" width="17.6328125" customWidth="1"/>
    <col min="3" max="3" width="20.7265625" customWidth="1"/>
    <col min="4" max="4" width="14" customWidth="1"/>
    <col min="5" max="5" width="15" customWidth="1"/>
    <col min="6" max="6" width="12" customWidth="1"/>
    <col min="7" max="7" width="12.6328125" customWidth="1"/>
    <col min="8" max="8" width="18" customWidth="1"/>
    <col min="9" max="9" width="16.7265625" customWidth="1"/>
    <col min="10" max="10" width="3" customWidth="1"/>
    <col min="11" max="11" width="16" customWidth="1"/>
    <col min="12" max="12" width="15" customWidth="1"/>
    <col min="13" max="13" width="10" customWidth="1"/>
    <col min="14" max="14" width="16" customWidth="1"/>
    <col min="15" max="15" width="15" customWidth="1"/>
  </cols>
  <sheetData>
    <row r="1" spans="1:15" x14ac:dyDescent="0.3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44</v>
      </c>
      <c r="H1" s="2" t="s">
        <v>42</v>
      </c>
      <c r="I1" s="2" t="s">
        <v>43</v>
      </c>
      <c r="J1" s="2"/>
      <c r="K1" s="2" t="s">
        <v>8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x14ac:dyDescent="0.35">
      <c r="A2" s="3" t="s">
        <v>17</v>
      </c>
      <c r="B2" s="3" t="s">
        <v>18</v>
      </c>
      <c r="C2" s="3" t="str">
        <f t="shared" ref="C2:C11" si="0">VLOOKUP(B2,$K$2:$O$5,2,FALSE)</f>
        <v>Sales</v>
      </c>
      <c r="D2" s="3" t="s">
        <v>19</v>
      </c>
      <c r="E2" s="4">
        <v>65000</v>
      </c>
      <c r="F2" s="3">
        <v>2020</v>
      </c>
      <c r="G2" s="3">
        <f>MATCH("Chicago",D2:D11,0)</f>
        <v>5</v>
      </c>
      <c r="H2" s="3" t="str">
        <f>INDEX($L$2:$L$5,MATCH(B2,$K$2:$K$5,0))</f>
        <v>Sales</v>
      </c>
      <c r="I2" s="4" t="str">
        <f>_xlfn.XLOOKUP(B2,$K$2:$K$5,$L$2:$L$5)</f>
        <v>Sales</v>
      </c>
      <c r="J2" s="3"/>
      <c r="K2" s="3" t="s">
        <v>20</v>
      </c>
      <c r="L2" s="3" t="s">
        <v>21</v>
      </c>
      <c r="M2" s="5">
        <v>0.08</v>
      </c>
      <c r="N2" s="3" t="s">
        <v>22</v>
      </c>
      <c r="O2" s="4">
        <v>50000</v>
      </c>
    </row>
    <row r="3" spans="1:15" x14ac:dyDescent="0.35">
      <c r="A3" s="3" t="s">
        <v>23</v>
      </c>
      <c r="B3" s="3" t="s">
        <v>24</v>
      </c>
      <c r="C3" s="3" t="str">
        <f t="shared" si="0"/>
        <v>IT</v>
      </c>
      <c r="D3" s="3" t="s">
        <v>25</v>
      </c>
      <c r="E3" s="4">
        <v>82000</v>
      </c>
      <c r="F3" s="3">
        <v>2019</v>
      </c>
      <c r="G3" s="3"/>
      <c r="H3" s="3" t="str">
        <f t="shared" ref="H3:H11" si="1">INDEX($L$2:$L$5,MATCH(B3,$K$2:$K$5,0))</f>
        <v>IT</v>
      </c>
      <c r="I3" s="4" t="str">
        <f t="shared" ref="I3:I11" si="2">_xlfn.XLOOKUP(B3,$K$2:$K$5,$L$2:$L$5)</f>
        <v>IT</v>
      </c>
      <c r="J3" s="3"/>
      <c r="K3" s="3" t="s">
        <v>24</v>
      </c>
      <c r="L3" s="3" t="s">
        <v>26</v>
      </c>
      <c r="M3" s="5">
        <v>0.1</v>
      </c>
      <c r="N3" s="3" t="s">
        <v>27</v>
      </c>
      <c r="O3" s="4">
        <v>120000</v>
      </c>
    </row>
    <row r="4" spans="1:15" x14ac:dyDescent="0.35">
      <c r="A4" s="3" t="s">
        <v>28</v>
      </c>
      <c r="B4" s="3" t="s">
        <v>20</v>
      </c>
      <c r="C4" s="3" t="str">
        <f t="shared" si="0"/>
        <v>HR</v>
      </c>
      <c r="D4" s="3" t="s">
        <v>19</v>
      </c>
      <c r="E4" s="4">
        <v>58000</v>
      </c>
      <c r="F4" s="3">
        <v>2021</v>
      </c>
      <c r="G4" s="3"/>
      <c r="H4" s="3" t="str">
        <f t="shared" si="1"/>
        <v>HR</v>
      </c>
      <c r="I4" s="4" t="str">
        <f t="shared" si="2"/>
        <v>HR</v>
      </c>
      <c r="J4" s="3"/>
      <c r="K4" s="3" t="s">
        <v>18</v>
      </c>
      <c r="L4" s="3" t="s">
        <v>29</v>
      </c>
      <c r="M4" s="5">
        <v>0.12</v>
      </c>
      <c r="N4" s="3" t="s">
        <v>30</v>
      </c>
      <c r="O4" s="4">
        <v>96000</v>
      </c>
    </row>
    <row r="5" spans="1:15" x14ac:dyDescent="0.35">
      <c r="A5" s="3" t="s">
        <v>31</v>
      </c>
      <c r="B5" s="3" t="s">
        <v>24</v>
      </c>
      <c r="C5" s="3" t="str">
        <f t="shared" si="0"/>
        <v>IT</v>
      </c>
      <c r="D5" s="3" t="s">
        <v>25</v>
      </c>
      <c r="E5" s="4">
        <v>91000</v>
      </c>
      <c r="F5" s="3">
        <v>2018</v>
      </c>
      <c r="G5" s="3"/>
      <c r="H5" s="3" t="str">
        <f t="shared" si="1"/>
        <v>IT</v>
      </c>
      <c r="I5" s="4" t="str">
        <f t="shared" si="2"/>
        <v>IT</v>
      </c>
      <c r="J5" s="3"/>
      <c r="K5" s="3" t="s">
        <v>32</v>
      </c>
      <c r="L5" s="3" t="s">
        <v>33</v>
      </c>
      <c r="M5" s="5">
        <v>0.09</v>
      </c>
      <c r="N5" s="3" t="s">
        <v>34</v>
      </c>
      <c r="O5" s="4">
        <v>80000</v>
      </c>
    </row>
    <row r="6" spans="1:15" x14ac:dyDescent="0.35">
      <c r="A6" s="3" t="s">
        <v>35</v>
      </c>
      <c r="B6" s="3" t="s">
        <v>18</v>
      </c>
      <c r="C6" s="3" t="str">
        <f t="shared" si="0"/>
        <v>Sales</v>
      </c>
      <c r="D6" s="3" t="s">
        <v>36</v>
      </c>
      <c r="E6" s="4">
        <v>72000</v>
      </c>
      <c r="F6" s="3">
        <v>2022</v>
      </c>
      <c r="G6" s="3"/>
      <c r="H6" s="3" t="str">
        <f t="shared" si="1"/>
        <v>Sales</v>
      </c>
      <c r="I6" s="4" t="str">
        <f t="shared" si="2"/>
        <v>Sales</v>
      </c>
      <c r="J6" s="3"/>
    </row>
    <row r="7" spans="1:15" x14ac:dyDescent="0.35">
      <c r="A7" s="3" t="s">
        <v>37</v>
      </c>
      <c r="B7" s="3" t="s">
        <v>20</v>
      </c>
      <c r="C7" s="3" t="str">
        <f t="shared" si="0"/>
        <v>HR</v>
      </c>
      <c r="D7" s="3" t="s">
        <v>19</v>
      </c>
      <c r="E7" s="4">
        <v>61000</v>
      </c>
      <c r="F7" s="3">
        <v>2020</v>
      </c>
      <c r="G7" s="3"/>
      <c r="H7" s="3" t="str">
        <f t="shared" si="1"/>
        <v>HR</v>
      </c>
      <c r="I7" s="4" t="str">
        <f t="shared" si="2"/>
        <v>HR</v>
      </c>
      <c r="J7" s="3"/>
    </row>
    <row r="8" spans="1:15" x14ac:dyDescent="0.35">
      <c r="A8" s="3" t="s">
        <v>38</v>
      </c>
      <c r="B8" s="3" t="s">
        <v>24</v>
      </c>
      <c r="C8" s="3" t="str">
        <f t="shared" si="0"/>
        <v>IT</v>
      </c>
      <c r="D8" s="3" t="s">
        <v>25</v>
      </c>
      <c r="E8" s="4">
        <v>88000</v>
      </c>
      <c r="F8" s="3">
        <v>2019</v>
      </c>
      <c r="G8" s="3"/>
      <c r="H8" s="3" t="str">
        <f t="shared" si="1"/>
        <v>IT</v>
      </c>
      <c r="I8" s="4" t="str">
        <f t="shared" si="2"/>
        <v>IT</v>
      </c>
      <c r="J8" s="3"/>
    </row>
    <row r="9" spans="1:15" x14ac:dyDescent="0.35">
      <c r="A9" s="3" t="s">
        <v>39</v>
      </c>
      <c r="B9" s="3" t="s">
        <v>18</v>
      </c>
      <c r="C9" s="3" t="str">
        <f t="shared" si="0"/>
        <v>Sales</v>
      </c>
      <c r="D9" s="3" t="s">
        <v>36</v>
      </c>
      <c r="E9" s="4">
        <v>76000</v>
      </c>
      <c r="F9" s="3">
        <v>2021</v>
      </c>
      <c r="G9" s="3"/>
      <c r="H9" s="3" t="str">
        <f t="shared" si="1"/>
        <v>Sales</v>
      </c>
      <c r="I9" s="4" t="str">
        <f t="shared" si="2"/>
        <v>Sales</v>
      </c>
      <c r="J9" s="3"/>
    </row>
    <row r="10" spans="1:15" x14ac:dyDescent="0.35">
      <c r="A10" s="3" t="s">
        <v>40</v>
      </c>
      <c r="B10" s="3" t="s">
        <v>20</v>
      </c>
      <c r="C10" s="3" t="str">
        <f t="shared" si="0"/>
        <v>HR</v>
      </c>
      <c r="D10" s="3" t="s">
        <v>19</v>
      </c>
      <c r="E10" s="4">
        <v>59000</v>
      </c>
      <c r="F10" s="3">
        <v>2023</v>
      </c>
      <c r="G10" s="3"/>
      <c r="H10" s="3" t="str">
        <f t="shared" si="1"/>
        <v>HR</v>
      </c>
      <c r="I10" s="4" t="str">
        <f t="shared" si="2"/>
        <v>HR</v>
      </c>
      <c r="J10" s="3"/>
    </row>
    <row r="11" spans="1:15" x14ac:dyDescent="0.35">
      <c r="A11" s="3" t="s">
        <v>41</v>
      </c>
      <c r="B11" s="3" t="s">
        <v>18</v>
      </c>
      <c r="C11" s="3" t="str">
        <f t="shared" si="0"/>
        <v>Sales</v>
      </c>
      <c r="D11" s="3" t="s">
        <v>25</v>
      </c>
      <c r="E11" s="4">
        <v>83000</v>
      </c>
      <c r="F11" s="3">
        <v>2020</v>
      </c>
      <c r="G11" s="3"/>
      <c r="H11" s="3" t="str">
        <f t="shared" si="1"/>
        <v>Sales</v>
      </c>
      <c r="I11" s="4" t="str">
        <f t="shared" si="2"/>
        <v>Sales</v>
      </c>
      <c r="J11" s="3"/>
    </row>
  </sheetData>
  <autoFilter ref="A1:F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16" customWidth="1"/>
    <col min="2" max="2" width="15" customWidth="1"/>
    <col min="3" max="3" width="10" customWidth="1"/>
    <col min="4" max="4" width="16" customWidth="1"/>
    <col min="5" max="5" width="1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100</v>
      </c>
      <c r="C2">
        <v>150</v>
      </c>
      <c r="D2">
        <v>130</v>
      </c>
      <c r="E2">
        <v>170</v>
      </c>
    </row>
    <row r="3" spans="1:5" x14ac:dyDescent="0.35">
      <c r="A3" t="s">
        <v>6</v>
      </c>
      <c r="B3">
        <v>200</v>
      </c>
      <c r="C3">
        <v>180</v>
      </c>
      <c r="D3">
        <v>220</v>
      </c>
      <c r="E3">
        <v>210</v>
      </c>
    </row>
    <row r="6" spans="1:5" x14ac:dyDescent="0.35">
      <c r="A6" t="s">
        <v>1</v>
      </c>
      <c r="B6">
        <f>HLOOKUP(A6, A1:E3, 3, FALSE)</f>
        <v>200</v>
      </c>
    </row>
  </sheetData>
  <autoFilter ref="A1:E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5" x14ac:dyDescent="0.35"/>
  <cols>
    <col min="1" max="1" width="16" customWidth="1"/>
    <col min="2" max="2" width="18" customWidth="1"/>
    <col min="3" max="3" width="12" customWidth="1"/>
    <col min="4" max="4" width="18" customWidth="1"/>
    <col min="5" max="5" width="16" customWidth="1"/>
  </cols>
  <sheetData>
    <row r="1" spans="1:5" x14ac:dyDescent="0.35">
      <c r="A1" s="6" t="s">
        <v>8</v>
      </c>
      <c r="B1" s="6" t="s">
        <v>13</v>
      </c>
      <c r="C1" s="6" t="s">
        <v>14</v>
      </c>
      <c r="D1" s="6" t="s">
        <v>15</v>
      </c>
      <c r="E1" s="6" t="s">
        <v>16</v>
      </c>
    </row>
    <row r="2" spans="1:5" x14ac:dyDescent="0.35">
      <c r="A2" t="s">
        <v>20</v>
      </c>
      <c r="B2" t="s">
        <v>21</v>
      </c>
      <c r="C2" s="7">
        <v>0.08</v>
      </c>
      <c r="D2" t="s">
        <v>22</v>
      </c>
      <c r="E2" s="8">
        <v>50000</v>
      </c>
    </row>
    <row r="3" spans="1:5" x14ac:dyDescent="0.35">
      <c r="A3" t="s">
        <v>24</v>
      </c>
      <c r="B3" t="s">
        <v>26</v>
      </c>
      <c r="C3" s="7">
        <v>0.1</v>
      </c>
      <c r="D3" t="s">
        <v>27</v>
      </c>
      <c r="E3" s="8">
        <v>120000</v>
      </c>
    </row>
    <row r="4" spans="1:5" x14ac:dyDescent="0.35">
      <c r="A4" t="s">
        <v>18</v>
      </c>
      <c r="B4" t="s">
        <v>29</v>
      </c>
      <c r="C4" s="7">
        <v>0.11</v>
      </c>
      <c r="D4" t="s">
        <v>30</v>
      </c>
      <c r="E4" s="8">
        <v>95000</v>
      </c>
    </row>
    <row r="5" spans="1:5" x14ac:dyDescent="0.35">
      <c r="A5" t="s">
        <v>32</v>
      </c>
      <c r="B5" t="s">
        <v>33</v>
      </c>
      <c r="C5" s="7">
        <v>0.09</v>
      </c>
      <c r="D5" t="s">
        <v>34</v>
      </c>
      <c r="E5" s="8">
        <v>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FFA65-C695-4799-B8F2-CAFB67AFBB94}">
  <dimension ref="A1:E7"/>
  <sheetViews>
    <sheetView tabSelected="1" workbookViewId="0">
      <selection activeCell="E5" sqref="E5"/>
    </sheetView>
  </sheetViews>
  <sheetFormatPr defaultRowHeight="14.5" x14ac:dyDescent="0.35"/>
  <cols>
    <col min="1" max="1" width="12.1796875" customWidth="1"/>
    <col min="2" max="2" width="15.26953125" customWidth="1"/>
  </cols>
  <sheetData>
    <row r="1" spans="1:5" x14ac:dyDescent="0.35">
      <c r="A1" t="s">
        <v>0</v>
      </c>
      <c r="B1" t="s">
        <v>45</v>
      </c>
      <c r="D1" t="s">
        <v>48</v>
      </c>
      <c r="E1" t="str">
        <f>CHOOSE(D2,"Good","Fair","Excellent")</f>
        <v>Excellent</v>
      </c>
    </row>
    <row r="2" spans="1:5" x14ac:dyDescent="0.35">
      <c r="A2" t="s">
        <v>1</v>
      </c>
      <c r="B2">
        <v>300</v>
      </c>
      <c r="D2">
        <v>3</v>
      </c>
    </row>
    <row r="3" spans="1:5" x14ac:dyDescent="0.35">
      <c r="A3" t="s">
        <v>2</v>
      </c>
      <c r="B3">
        <v>330</v>
      </c>
      <c r="D3" t="s">
        <v>49</v>
      </c>
      <c r="E3" t="str" cm="1">
        <f t="array" aca="1" ref="E3" ca="1">INDIRECT("A2")</f>
        <v>Jan</v>
      </c>
    </row>
    <row r="4" spans="1:5" x14ac:dyDescent="0.35">
      <c r="A4" t="s">
        <v>3</v>
      </c>
      <c r="B4">
        <v>350</v>
      </c>
      <c r="D4" t="s">
        <v>50</v>
      </c>
      <c r="E4">
        <f ca="1">OFFSET(A2,4,1)</f>
        <v>370</v>
      </c>
    </row>
    <row r="5" spans="1:5" x14ac:dyDescent="0.35">
      <c r="A5" t="s">
        <v>4</v>
      </c>
      <c r="B5">
        <v>310</v>
      </c>
    </row>
    <row r="6" spans="1:5" x14ac:dyDescent="0.35">
      <c r="A6" t="s">
        <v>46</v>
      </c>
      <c r="B6">
        <v>370</v>
      </c>
    </row>
    <row r="7" spans="1:5" x14ac:dyDescent="0.35">
      <c r="A7" t="s">
        <v>47</v>
      </c>
      <c r="B7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Practice Data</vt:lpstr>
      <vt:lpstr>Product</vt:lpstr>
      <vt:lpstr>Department Reference</vt:lpstr>
      <vt:lpstr>Monthly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JOYCE EBRUPHIYO ETATA</cp:lastModifiedBy>
  <dcterms:created xsi:type="dcterms:W3CDTF">2026-08-23T10:59:58Z</dcterms:created>
  <dcterms:modified xsi:type="dcterms:W3CDTF">2026-08-24T20:07:41Z</dcterms:modified>
</cp:coreProperties>
</file>