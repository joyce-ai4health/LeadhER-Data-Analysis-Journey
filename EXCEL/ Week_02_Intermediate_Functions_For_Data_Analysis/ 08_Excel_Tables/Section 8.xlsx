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mePC\OneDrive\Documents\HEALTHCARE DATA SCIENCE JOURNEY\LeadHER Foundation\WEE 1-3 EXCEL FOR DATA ANALYST\WEEK 2 INTERMEDIATE FUNCTIONS FOR DATA ANALYSIS\"/>
    </mc:Choice>
  </mc:AlternateContent>
  <xr:revisionPtr revIDLastSave="0" documentId="13_ncr:1_{87D56E2A-62AE-4215-A2A4-0B356B5B8667}" xr6:coauthVersionLast="47" xr6:coauthVersionMax="47" xr10:uidLastSave="{00000000-0000-0000-0000-000000000000}"/>
  <bookViews>
    <workbookView xWindow="-110" yWindow="-110" windowWidth="19420" windowHeight="10300" xr2:uid="{AF6E77EF-2560-4E2F-8815-6AD2C0776F17}"/>
  </bookViews>
  <sheets>
    <sheet name="Sheet1" sheetId="2" r:id="rId1"/>
  </sheets>
  <definedNames>
    <definedName name="Slicer_Category">#N/A</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A20" i="2"/>
  <c r="M1" i="2"/>
</calcChain>
</file>

<file path=xl/sharedStrings.xml><?xml version="1.0" encoding="utf-8"?>
<sst xmlns="http://schemas.openxmlformats.org/spreadsheetml/2006/main" count="106" uniqueCount="49">
  <si>
    <t>Category</t>
  </si>
  <si>
    <t>Region</t>
  </si>
  <si>
    <t>South</t>
  </si>
  <si>
    <t>West</t>
  </si>
  <si>
    <t>East</t>
  </si>
  <si>
    <t>North</t>
  </si>
  <si>
    <t>Customer</t>
  </si>
  <si>
    <t>Product</t>
  </si>
  <si>
    <t>Units</t>
  </si>
  <si>
    <t>Acme Corporation</t>
  </si>
  <si>
    <t>Sarah Johnson</t>
  </si>
  <si>
    <t>Software</t>
  </si>
  <si>
    <t>CRM</t>
  </si>
  <si>
    <t>Beta Solutions</t>
  </si>
  <si>
    <t>Michael Chen</t>
  </si>
  <si>
    <t>Hardware</t>
  </si>
  <si>
    <t>Laptop</t>
  </si>
  <si>
    <t>Gamma Industries</t>
  </si>
  <si>
    <t>Anna Williams</t>
  </si>
  <si>
    <t>Services</t>
  </si>
  <si>
    <t>Consulting</t>
  </si>
  <si>
    <t>Delta Enterprises</t>
  </si>
  <si>
    <t>Robert Davis</t>
  </si>
  <si>
    <t>Server</t>
  </si>
  <si>
    <t>Office Suite</t>
  </si>
  <si>
    <t>Epsilon Technologies</t>
  </si>
  <si>
    <t>Training</t>
  </si>
  <si>
    <t>Zeta Group</t>
  </si>
  <si>
    <t>Monitor</t>
  </si>
  <si>
    <t>Eta Holdings</t>
  </si>
  <si>
    <t>ERP</t>
  </si>
  <si>
    <t>Theta Systems</t>
  </si>
  <si>
    <t>Iota Partners</t>
  </si>
  <si>
    <t>Kappa Logistics</t>
  </si>
  <si>
    <t>Support</t>
  </si>
  <si>
    <t>Lambda Consulting</t>
  </si>
  <si>
    <t>Mu Enterprises</t>
  </si>
  <si>
    <t>Nu Technologies</t>
  </si>
  <si>
    <t>Xi Corporation</t>
  </si>
  <si>
    <t>Omicron Solutions</t>
  </si>
  <si>
    <t>Pi Industries</t>
  </si>
  <si>
    <t>Rho Global</t>
  </si>
  <si>
    <t>TotalSales</t>
  </si>
  <si>
    <t>UnitPrice</t>
  </si>
  <si>
    <t>SalesRep</t>
  </si>
  <si>
    <t>OrderDate</t>
  </si>
  <si>
    <t>SUM</t>
  </si>
  <si>
    <t>WEST</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</si>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</sst>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0.00_-;\-* #,##0.00_-;_-*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14" fontId="0" fillId="0" borderId="0" xfId="0" applyNumberFormat="1"/>
    <xf numFmtId="44" fontId="0" fillId="0" borderId="0" xfId="1" applyFont="1"/>
    <xf numFmtId="164" fontId="0" fillId="0" borderId="0" xfId="0" applyNumberFormat="1"/>
    <xf numFmtId="0" fontId="2" fillId="0" borderId="0" xfId="0" applyFont="1"/>
    <xf numFmtId="44" fontId="0" fillId="0" borderId="0" xfId="0" applyNumberFormat="1"/>
  </cellXfs>
  <cellStyles count="2">
    <cellStyle name="Currency" xfId="1" builtinId="4"/>
    <cellStyle name="Normal" xfId="0" builtinId="0"/>
  </cellStyles>
  <dxfs count="7">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10</xdr:col>
      <xdr:colOff>19050</xdr:colOff>
      <xdr:row>7</xdr:row>
      <xdr:rowOff>6350</xdr:rowOff>
    </xdr:from>
    <xdr:to>
      <xdr:col>11</xdr:col>
      <xdr:colOff>571500</xdr:colOff>
      <xdr:row>13</xdr:row>
      <xdr:rowOff>63500</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BBB8494B-3747-8165-838D-C4CDF0D53A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22000" y="1295400"/>
              <a:ext cx="1212850" cy="11620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B47508-A9A4-459E-8B77-A30E1CA4921F}" sourceName="Catego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C599BCF-4C15-488B-98ED-1115FDE6C537}"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569AE-4D40-48DE-9943-E592847D6AFA}" name="SalesData" displayName="SalesData" ref="A1:J20">
  <autoFilter ref="A1:J20" xr:uid="{1AE569AE-4D40-48DE-9943-E592847D6AFA}"/>
  <tableColumns count="10">
    <tableColumn id="1" xr3:uid="{CB8B5CFA-739F-4A54-9628-5BC5390E7931}" name="OrderDate" totalsRowFunction="count" dataDxfId="6"/>
    <tableColumn id="2" xr3:uid="{7E1AD45F-8607-493D-B95D-567E74CB298A}" name="Customer" totalsRowFunction="count"/>
    <tableColumn id="3" xr3:uid="{AE7A77EF-EAE6-4E2A-9713-45A543DA8198}" name="SalesRep" totalsRowFunction="count"/>
    <tableColumn id="4" xr3:uid="{1BD782DA-6C2C-4E90-B7C4-A75775100C53}" name="Category" totalsRowFunction="count"/>
    <tableColumn id="5" xr3:uid="{7A00C002-6819-4063-90A7-0846FBFB56A7}" name="Product" totalsRowFunction="count"/>
    <tableColumn id="6" xr3:uid="{C0182446-9A15-4675-BB7D-8542FA08709B}" name="Units" totalsRowFunction="count"/>
    <tableColumn id="7" xr3:uid="{C166ECFF-B378-458F-963F-379F9D9EED49}" name="UnitPrice" totalsRowFunction="sum" dataDxfId="4" totalsRowDxfId="5" dataCellStyle="Currency"/>
    <tableColumn id="8" xr3:uid="{42D5BF25-BF5E-4815-9BA6-98ADA51C5D03}" name="TotalSales" totalsRowFunction="sum" dataDxfId="2" totalsRowDxfId="3" dataCellStyle="Currency"/>
    <tableColumn id="10" xr3:uid="{1EF0F8CA-6E89-4321-A166-DD51788995D3}" name="Revenue" dataDxfId="0" totalsRowDxfId="1" dataCellStyle="Currency">
      <calculatedColumnFormula>SalesData[[#This Row],[TotalSales]]-SalesData[[#This Row],[TotalSales]]*0.07</calculatedColumnFormula>
    </tableColumn>
    <tableColumn id="9" xr3:uid="{A8A69BCD-6BEA-457B-8158-C110385177ED}" name="Region"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E57F-1896-423A-B5F4-CAAC2DB69696}">
  <dimension ref="A1:M20"/>
  <sheetViews>
    <sheetView tabSelected="1" topLeftCell="B8" workbookViewId="0">
      <selection activeCell="L21" sqref="L21"/>
    </sheetView>
  </sheetViews>
  <sheetFormatPr defaultRowHeight="14.5" x14ac:dyDescent="0.35"/>
  <cols>
    <col min="1" max="1" width="17.36328125" style="1" customWidth="1"/>
    <col min="2" max="2" width="20.54296875" customWidth="1"/>
    <col min="3" max="3" width="13.453125" customWidth="1"/>
    <col min="4" max="4" width="13.90625" customWidth="1"/>
    <col min="5" max="5" width="13.6328125" customWidth="1"/>
    <col min="6" max="6" width="11.08984375" customWidth="1"/>
    <col min="7" max="8" width="16.36328125" style="2" customWidth="1"/>
    <col min="9" max="9" width="24" style="2" customWidth="1"/>
    <col min="10" max="10" width="9.36328125" customWidth="1"/>
    <col min="11" max="11" width="9.453125" bestFit="1" customWidth="1"/>
    <col min="13" max="13" width="11.1796875" bestFit="1" customWidth="1"/>
  </cols>
  <sheetData>
    <row r="1" spans="1:13" x14ac:dyDescent="0.35">
      <c r="A1" s="1" t="s">
        <v>45</v>
      </c>
      <c r="B1" t="s">
        <v>6</v>
      </c>
      <c r="C1" t="s">
        <v>44</v>
      </c>
      <c r="D1" t="s">
        <v>0</v>
      </c>
      <c r="E1" t="s">
        <v>7</v>
      </c>
      <c r="F1" t="s">
        <v>8</v>
      </c>
      <c r="G1" s="2" t="s">
        <v>43</v>
      </c>
      <c r="H1" s="2" t="s">
        <v>42</v>
      </c>
      <c r="I1" s="2" t="s">
        <v>48</v>
      </c>
      <c r="J1" t="s">
        <v>1</v>
      </c>
      <c r="L1" s="4" t="s">
        <v>46</v>
      </c>
      <c r="M1" s="5">
        <f>SUM(SalesData[TotalSales])</f>
        <v>86600</v>
      </c>
    </row>
    <row r="2" spans="1:13" x14ac:dyDescent="0.35">
      <c r="A2" s="1">
        <v>46027</v>
      </c>
      <c r="B2" t="s">
        <v>9</v>
      </c>
      <c r="C2" t="s">
        <v>10</v>
      </c>
      <c r="D2" t="s">
        <v>11</v>
      </c>
      <c r="E2" t="s">
        <v>12</v>
      </c>
      <c r="F2">
        <v>3</v>
      </c>
      <c r="G2" s="2">
        <v>2500</v>
      </c>
      <c r="H2" s="2">
        <v>7500</v>
      </c>
      <c r="I2" s="2">
        <f>SalesData[[#This Row],[TotalSales]]-SalesData[[#This Row],[TotalSales]]*0.07</f>
        <v>6975</v>
      </c>
      <c r="J2" t="s">
        <v>5</v>
      </c>
      <c r="K2" s="3"/>
    </row>
    <row r="3" spans="1:13" x14ac:dyDescent="0.35">
      <c r="A3" s="1">
        <v>46034</v>
      </c>
      <c r="B3" t="s">
        <v>13</v>
      </c>
      <c r="C3" t="s">
        <v>14</v>
      </c>
      <c r="D3" t="s">
        <v>15</v>
      </c>
      <c r="E3" t="s">
        <v>16</v>
      </c>
      <c r="F3">
        <v>4</v>
      </c>
      <c r="G3" s="2">
        <v>1200</v>
      </c>
      <c r="H3" s="2">
        <v>4800</v>
      </c>
      <c r="I3" s="2">
        <f>SalesData[[#This Row],[TotalSales]]-SalesData[[#This Row],[TotalSales]]*0.07</f>
        <v>4464</v>
      </c>
      <c r="J3" t="s">
        <v>2</v>
      </c>
    </row>
    <row r="4" spans="1:13" x14ac:dyDescent="0.35">
      <c r="A4" s="1">
        <v>46042</v>
      </c>
      <c r="B4" t="s">
        <v>17</v>
      </c>
      <c r="C4" t="s">
        <v>18</v>
      </c>
      <c r="D4" t="s">
        <v>19</v>
      </c>
      <c r="E4" t="s">
        <v>20</v>
      </c>
      <c r="F4">
        <v>5</v>
      </c>
      <c r="G4" s="2">
        <v>500</v>
      </c>
      <c r="H4" s="2">
        <v>2500</v>
      </c>
      <c r="I4" s="2">
        <f>SalesData[[#This Row],[TotalSales]]-SalesData[[#This Row],[TotalSales]]*0.07</f>
        <v>2325</v>
      </c>
      <c r="J4" t="s">
        <v>4</v>
      </c>
    </row>
    <row r="5" spans="1:13" x14ac:dyDescent="0.35">
      <c r="A5" s="1">
        <v>46055</v>
      </c>
      <c r="B5" t="s">
        <v>21</v>
      </c>
      <c r="C5" t="s">
        <v>22</v>
      </c>
      <c r="D5" t="s">
        <v>15</v>
      </c>
      <c r="E5" t="s">
        <v>23</v>
      </c>
      <c r="F5">
        <v>1</v>
      </c>
      <c r="G5" s="2">
        <v>3500</v>
      </c>
      <c r="H5" s="2">
        <v>3500</v>
      </c>
      <c r="I5" s="2">
        <f>SalesData[[#This Row],[TotalSales]]-SalesData[[#This Row],[TotalSales]]*0.07</f>
        <v>3255</v>
      </c>
      <c r="J5" t="s">
        <v>3</v>
      </c>
    </row>
    <row r="6" spans="1:13" x14ac:dyDescent="0.35">
      <c r="A6" s="1">
        <v>46063</v>
      </c>
      <c r="B6" t="s">
        <v>9</v>
      </c>
      <c r="C6" t="s">
        <v>10</v>
      </c>
      <c r="D6" t="s">
        <v>11</v>
      </c>
      <c r="E6" t="s">
        <v>24</v>
      </c>
      <c r="F6">
        <v>10</v>
      </c>
      <c r="G6" s="2">
        <v>300</v>
      </c>
      <c r="H6" s="2">
        <v>3000</v>
      </c>
      <c r="I6" s="2">
        <f>SalesData[[#This Row],[TotalSales]]-SalesData[[#This Row],[TotalSales]]*0.07</f>
        <v>2790</v>
      </c>
      <c r="J6" t="s">
        <v>5</v>
      </c>
    </row>
    <row r="7" spans="1:13" x14ac:dyDescent="0.35">
      <c r="A7" s="1">
        <v>46071</v>
      </c>
      <c r="B7" t="s">
        <v>25</v>
      </c>
      <c r="C7" t="s">
        <v>14</v>
      </c>
      <c r="D7" t="s">
        <v>19</v>
      </c>
      <c r="E7" t="s">
        <v>26</v>
      </c>
      <c r="F7">
        <v>8</v>
      </c>
      <c r="G7" s="2">
        <v>200</v>
      </c>
      <c r="H7" s="2">
        <v>1600</v>
      </c>
      <c r="I7" s="2">
        <f>SalesData[[#This Row],[TotalSales]]-SalesData[[#This Row],[TotalSales]]*0.07</f>
        <v>1488</v>
      </c>
      <c r="J7" t="s">
        <v>2</v>
      </c>
    </row>
    <row r="8" spans="1:13" x14ac:dyDescent="0.35">
      <c r="A8" s="1">
        <v>46082</v>
      </c>
      <c r="B8" t="s">
        <v>27</v>
      </c>
      <c r="C8" t="s">
        <v>18</v>
      </c>
      <c r="D8" t="s">
        <v>15</v>
      </c>
      <c r="E8" t="s">
        <v>28</v>
      </c>
      <c r="F8">
        <v>6</v>
      </c>
      <c r="G8" s="2">
        <v>300</v>
      </c>
      <c r="H8" s="2">
        <v>1800</v>
      </c>
      <c r="I8" s="2">
        <f>SalesData[[#This Row],[TotalSales]]-SalesData[[#This Row],[TotalSales]]*0.07</f>
        <v>1674</v>
      </c>
      <c r="J8" t="s">
        <v>4</v>
      </c>
    </row>
    <row r="9" spans="1:13" x14ac:dyDescent="0.35">
      <c r="A9" s="1">
        <v>46091</v>
      </c>
      <c r="B9" t="s">
        <v>29</v>
      </c>
      <c r="C9" t="s">
        <v>22</v>
      </c>
      <c r="D9" t="s">
        <v>11</v>
      </c>
      <c r="E9" t="s">
        <v>30</v>
      </c>
      <c r="F9">
        <v>2</v>
      </c>
      <c r="G9" s="2">
        <v>2500</v>
      </c>
      <c r="H9" s="2">
        <v>5000</v>
      </c>
      <c r="I9" s="2">
        <f>SalesData[[#This Row],[TotalSales]]-SalesData[[#This Row],[TotalSales]]*0.07</f>
        <v>4650</v>
      </c>
      <c r="J9" t="s">
        <v>3</v>
      </c>
    </row>
    <row r="10" spans="1:13" x14ac:dyDescent="0.35">
      <c r="A10" s="1">
        <v>46103</v>
      </c>
      <c r="B10" t="s">
        <v>31</v>
      </c>
      <c r="C10" t="s">
        <v>10</v>
      </c>
      <c r="D10" t="s">
        <v>15</v>
      </c>
      <c r="E10" t="s">
        <v>16</v>
      </c>
      <c r="F10">
        <v>5</v>
      </c>
      <c r="G10" s="2">
        <v>1200</v>
      </c>
      <c r="H10" s="2">
        <v>6000</v>
      </c>
      <c r="I10" s="2">
        <f>SalesData[[#This Row],[TotalSales]]-SalesData[[#This Row],[TotalSales]]*0.07</f>
        <v>5580</v>
      </c>
      <c r="J10" t="s">
        <v>5</v>
      </c>
    </row>
    <row r="11" spans="1:13" x14ac:dyDescent="0.35">
      <c r="A11" s="1">
        <v>46113</v>
      </c>
      <c r="B11" t="s">
        <v>32</v>
      </c>
      <c r="C11" t="s">
        <v>14</v>
      </c>
      <c r="D11" t="s">
        <v>11</v>
      </c>
      <c r="E11" t="s">
        <v>12</v>
      </c>
      <c r="F11">
        <v>4</v>
      </c>
      <c r="G11" s="2">
        <v>2500</v>
      </c>
      <c r="H11" s="2">
        <v>10000</v>
      </c>
      <c r="I11" s="2">
        <f>SalesData[[#This Row],[TotalSales]]-SalesData[[#This Row],[TotalSales]]*0.07</f>
        <v>9300</v>
      </c>
      <c r="J11" t="s">
        <v>2</v>
      </c>
    </row>
    <row r="12" spans="1:13" x14ac:dyDescent="0.35">
      <c r="A12" s="1">
        <v>46122</v>
      </c>
      <c r="B12" t="s">
        <v>33</v>
      </c>
      <c r="C12" t="s">
        <v>18</v>
      </c>
      <c r="D12" t="s">
        <v>19</v>
      </c>
      <c r="E12" t="s">
        <v>34</v>
      </c>
      <c r="F12">
        <v>12</v>
      </c>
      <c r="G12" s="2">
        <v>150</v>
      </c>
      <c r="H12" s="2">
        <v>1800</v>
      </c>
      <c r="I12" s="2">
        <f>SalesData[[#This Row],[TotalSales]]-SalesData[[#This Row],[TotalSales]]*0.07</f>
        <v>1674</v>
      </c>
      <c r="J12" t="s">
        <v>4</v>
      </c>
    </row>
    <row r="13" spans="1:13" x14ac:dyDescent="0.35">
      <c r="A13" s="1">
        <v>46130</v>
      </c>
      <c r="B13" t="s">
        <v>35</v>
      </c>
      <c r="C13" t="s">
        <v>22</v>
      </c>
      <c r="D13" t="s">
        <v>19</v>
      </c>
      <c r="E13" t="s">
        <v>20</v>
      </c>
      <c r="F13">
        <v>3</v>
      </c>
      <c r="G13" s="2">
        <v>500</v>
      </c>
      <c r="H13" s="2">
        <v>1500</v>
      </c>
      <c r="I13" s="2">
        <f>SalesData[[#This Row],[TotalSales]]-SalesData[[#This Row],[TotalSales]]*0.07</f>
        <v>1395</v>
      </c>
      <c r="J13" t="s">
        <v>3</v>
      </c>
    </row>
    <row r="14" spans="1:13" x14ac:dyDescent="0.35">
      <c r="A14" s="1">
        <v>46143</v>
      </c>
      <c r="B14" t="s">
        <v>36</v>
      </c>
      <c r="C14" t="s">
        <v>10</v>
      </c>
      <c r="D14" t="s">
        <v>15</v>
      </c>
      <c r="E14" t="s">
        <v>23</v>
      </c>
      <c r="F14">
        <v>2</v>
      </c>
      <c r="G14" s="2">
        <v>3500</v>
      </c>
      <c r="H14" s="2">
        <v>7000</v>
      </c>
      <c r="I14" s="2">
        <f>SalesData[[#This Row],[TotalSales]]-SalesData[[#This Row],[TotalSales]]*0.07</f>
        <v>6510</v>
      </c>
      <c r="J14" t="s">
        <v>5</v>
      </c>
    </row>
    <row r="15" spans="1:13" x14ac:dyDescent="0.35">
      <c r="A15" s="1">
        <v>46152</v>
      </c>
      <c r="B15" t="s">
        <v>37</v>
      </c>
      <c r="C15" t="s">
        <v>14</v>
      </c>
      <c r="D15" t="s">
        <v>11</v>
      </c>
      <c r="E15" t="s">
        <v>24</v>
      </c>
      <c r="F15">
        <v>15</v>
      </c>
      <c r="G15" s="2">
        <v>300</v>
      </c>
      <c r="H15" s="2">
        <v>4500</v>
      </c>
      <c r="I15" s="2">
        <f>SalesData[[#This Row],[TotalSales]]-SalesData[[#This Row],[TotalSales]]*0.07</f>
        <v>4185</v>
      </c>
      <c r="J15" t="s">
        <v>2</v>
      </c>
    </row>
    <row r="16" spans="1:13" x14ac:dyDescent="0.35">
      <c r="A16" s="1">
        <v>46162</v>
      </c>
      <c r="B16" t="s">
        <v>38</v>
      </c>
      <c r="C16" t="s">
        <v>18</v>
      </c>
      <c r="D16" t="s">
        <v>15</v>
      </c>
      <c r="E16" t="s">
        <v>28</v>
      </c>
      <c r="F16">
        <v>8</v>
      </c>
      <c r="G16" s="2">
        <v>300</v>
      </c>
      <c r="H16" s="2">
        <v>2400</v>
      </c>
      <c r="I16" s="2">
        <f>SalesData[[#This Row],[TotalSales]]-SalesData[[#This Row],[TotalSales]]*0.07</f>
        <v>2232</v>
      </c>
      <c r="J16" t="s">
        <v>4</v>
      </c>
    </row>
    <row r="17" spans="1:10" x14ac:dyDescent="0.35">
      <c r="A17" s="1">
        <v>46174</v>
      </c>
      <c r="B17" t="s">
        <v>39</v>
      </c>
      <c r="C17" t="s">
        <v>22</v>
      </c>
      <c r="D17" t="s">
        <v>11</v>
      </c>
      <c r="E17" t="s">
        <v>12</v>
      </c>
      <c r="F17">
        <v>5</v>
      </c>
      <c r="G17" s="2">
        <v>2500</v>
      </c>
      <c r="H17" s="2">
        <v>12500</v>
      </c>
      <c r="I17" s="2">
        <f>SalesData[[#This Row],[TotalSales]]-SalesData[[#This Row],[TotalSales]]*0.07</f>
        <v>11625</v>
      </c>
      <c r="J17" t="s">
        <v>3</v>
      </c>
    </row>
    <row r="18" spans="1:10" x14ac:dyDescent="0.35">
      <c r="A18" s="1">
        <v>46183</v>
      </c>
      <c r="B18" t="s">
        <v>40</v>
      </c>
      <c r="C18" t="s">
        <v>10</v>
      </c>
      <c r="D18" t="s">
        <v>19</v>
      </c>
      <c r="E18" t="s">
        <v>26</v>
      </c>
      <c r="F18">
        <v>10</v>
      </c>
      <c r="G18" s="2">
        <v>200</v>
      </c>
      <c r="H18" s="2">
        <v>2000</v>
      </c>
      <c r="I18" s="2">
        <f>SalesData[[#This Row],[TotalSales]]-SalesData[[#This Row],[TotalSales]]*0.07</f>
        <v>1860</v>
      </c>
      <c r="J18" t="s">
        <v>5</v>
      </c>
    </row>
    <row r="19" spans="1:10" x14ac:dyDescent="0.35">
      <c r="A19" s="1">
        <v>46191</v>
      </c>
      <c r="B19" t="s">
        <v>41</v>
      </c>
      <c r="C19" t="s">
        <v>14</v>
      </c>
      <c r="D19" t="s">
        <v>15</v>
      </c>
      <c r="E19" t="s">
        <v>16</v>
      </c>
      <c r="F19">
        <v>6</v>
      </c>
      <c r="G19" s="2">
        <v>1200</v>
      </c>
      <c r="H19" s="2">
        <v>7200</v>
      </c>
      <c r="I19" s="2">
        <f>SalesData[[#This Row],[TotalSales]]-SalesData[[#This Row],[TotalSales]]*0.07</f>
        <v>6696</v>
      </c>
      <c r="J19" t="s">
        <v>2</v>
      </c>
    </row>
    <row r="20" spans="1:10" x14ac:dyDescent="0.35">
      <c r="A20" s="1">
        <f>DATE(2026,6,19)</f>
        <v>46192</v>
      </c>
      <c r="B20" t="s">
        <v>38</v>
      </c>
      <c r="C20" t="s">
        <v>22</v>
      </c>
      <c r="D20" t="s">
        <v>19</v>
      </c>
      <c r="E20" t="s">
        <v>26</v>
      </c>
      <c r="F20">
        <v>10</v>
      </c>
      <c r="G20" s="2">
        <v>200</v>
      </c>
      <c r="H20" s="2">
        <v>2000</v>
      </c>
      <c r="I20" s="2">
        <f>SalesData[[#This Row],[TotalSales]]-SalesData[[#This Row],[TotalSales]]*0.07</f>
        <v>1860</v>
      </c>
      <c r="J20" t="s">
        <v>47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JOYCE EBRUPHIYO ETATA</cp:lastModifiedBy>
  <dcterms:created xsi:type="dcterms:W3CDTF">2026-05-31T16:26:43Z</dcterms:created>
  <dcterms:modified xsi:type="dcterms:W3CDTF">2026-08-26T15:48:27Z</dcterms:modified>
</cp:coreProperties>
</file>