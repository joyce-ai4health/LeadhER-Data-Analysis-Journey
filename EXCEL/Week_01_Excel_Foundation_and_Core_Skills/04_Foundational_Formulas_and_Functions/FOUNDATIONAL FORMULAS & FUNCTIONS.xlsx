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OneDrive\Documents\HEALTHCARE DATA SCIENCE JOURNEY\LeadHER Foundation\WEE 1-3 EXCEL FOR DATA ANALYST\DATA ENTRY &amp; FORMATTING\"/>
    </mc:Choice>
  </mc:AlternateContent>
  <xr:revisionPtr revIDLastSave="0" documentId="13_ncr:1_{B5E77829-4314-4A2B-ABC0-25ADEDBD5B13}" xr6:coauthVersionLast="47" xr6:coauthVersionMax="47" xr10:uidLastSave="{00000000-0000-0000-0000-000000000000}"/>
  <bookViews>
    <workbookView xWindow="-110" yWindow="-110" windowWidth="19420" windowHeight="10300" activeTab="2" xr2:uid="{E80B9BD4-9E9A-47FC-8DC6-C117CBCA0D01}"/>
  </bookViews>
  <sheets>
    <sheet name="STAFF DATA" sheetId="1" r:id="rId1"/>
    <sheet name="STAFF DATA (2)" sheetId="2" r:id="rId2"/>
    <sheet name="STAFF SALARY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6" l="1"/>
  <c r="J7" i="6"/>
  <c r="J8" i="6" s="1"/>
  <c r="J6" i="6"/>
  <c r="J5" i="6"/>
  <c r="J4" i="6"/>
  <c r="J3" i="6"/>
  <c r="J2" i="6"/>
  <c r="F13" i="6"/>
  <c r="F12" i="6"/>
  <c r="F11" i="6"/>
  <c r="F10" i="6"/>
  <c r="F9" i="6"/>
  <c r="F8" i="6"/>
  <c r="F7" i="6"/>
  <c r="F6" i="6"/>
  <c r="F5" i="6"/>
  <c r="F4" i="6"/>
  <c r="F3" i="6"/>
  <c r="F2" i="6"/>
  <c r="S2" i="6"/>
  <c r="R3" i="6"/>
  <c r="R4" i="6"/>
  <c r="R5" i="6"/>
  <c r="R6" i="6"/>
  <c r="R7" i="6"/>
  <c r="R8" i="6"/>
  <c r="R9" i="6"/>
  <c r="R10" i="6"/>
  <c r="R11" i="6"/>
  <c r="R12" i="6"/>
  <c r="R13" i="6"/>
  <c r="R2" i="6"/>
  <c r="Q2" i="6"/>
  <c r="P3" i="6"/>
  <c r="P4" i="6"/>
  <c r="P5" i="6"/>
  <c r="P6" i="6"/>
  <c r="P7" i="6"/>
  <c r="P8" i="6"/>
  <c r="P9" i="6"/>
  <c r="P10" i="6"/>
  <c r="P11" i="6"/>
  <c r="P12" i="6"/>
  <c r="P13" i="6"/>
  <c r="P2" i="6"/>
  <c r="O2" i="6"/>
  <c r="M2" i="6"/>
  <c r="L3" i="6"/>
  <c r="L4" i="6"/>
  <c r="L5" i="6"/>
  <c r="L6" i="6"/>
  <c r="L7" i="6"/>
  <c r="L8" i="6"/>
  <c r="L9" i="6"/>
  <c r="L10" i="6"/>
  <c r="L11" i="6"/>
  <c r="L12" i="6"/>
  <c r="L13" i="6"/>
  <c r="N3" i="6"/>
  <c r="N4" i="6"/>
  <c r="N5" i="6"/>
  <c r="N6" i="6"/>
  <c r="N7" i="6"/>
  <c r="N8" i="6"/>
  <c r="N9" i="6"/>
  <c r="N10" i="6"/>
  <c r="N11" i="6"/>
  <c r="N12" i="6"/>
  <c r="N13" i="6"/>
  <c r="N2" i="6"/>
  <c r="L2" i="6"/>
</calcChain>
</file>

<file path=xl/sharedStrings.xml><?xml version="1.0" encoding="utf-8"?>
<sst xmlns="http://schemas.openxmlformats.org/spreadsheetml/2006/main" count="77" uniqueCount="56">
  <si>
    <t>Staff Name</t>
  </si>
  <si>
    <t>Monthly Salary</t>
  </si>
  <si>
    <t>Date Of Employment</t>
  </si>
  <si>
    <t>Staff Initials</t>
  </si>
  <si>
    <t>James Black</t>
  </si>
  <si>
    <t>John Green</t>
  </si>
  <si>
    <t>Sarah Brown</t>
  </si>
  <si>
    <t>JB</t>
  </si>
  <si>
    <t>JG</t>
  </si>
  <si>
    <t>SB</t>
  </si>
  <si>
    <t>IT</t>
  </si>
  <si>
    <t>HR</t>
  </si>
  <si>
    <t>Analytics</t>
  </si>
  <si>
    <t>Accounting</t>
  </si>
  <si>
    <t>Department</t>
  </si>
  <si>
    <t>Month</t>
  </si>
  <si>
    <t>Salary</t>
  </si>
  <si>
    <t>Staff Number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</si>
  <si>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</si>
  <si>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</si>
  <si>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</si>
  <si>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</si>
  <si>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</si>
  <si>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</si>
  <si>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</si>
  <si>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</si>
  <si>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</si>
  <si>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</si>
  <si>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</si>
  <si>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</si>
  <si>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Relative Ref</t>
  </si>
  <si>
    <t>Absoulte Ref</t>
  </si>
  <si>
    <t>Mixed Ref Col Lock</t>
  </si>
  <si>
    <t>Mixed Ref Row Lock</t>
  </si>
  <si>
    <t>SUM</t>
  </si>
  <si>
    <t>AVERAGE</t>
  </si>
  <si>
    <t>MIN</t>
  </si>
  <si>
    <t>MAX</t>
  </si>
  <si>
    <t>COUNT</t>
  </si>
  <si>
    <t>Others</t>
  </si>
  <si>
    <t>Null</t>
  </si>
  <si>
    <t>COUNTA</t>
  </si>
  <si>
    <t xml:space="preserve">ROUND </t>
  </si>
  <si>
    <t>ROUNDUP</t>
  </si>
  <si>
    <t>ROUNDDOWN</t>
  </si>
  <si>
    <t>ROUND</t>
  </si>
  <si>
    <t>TODAY</t>
  </si>
  <si>
    <t>NOW</t>
  </si>
  <si>
    <t>boy</t>
  </si>
  <si>
    <t xml:space="preserve">BOY  </t>
  </si>
  <si>
    <t>UPPER</t>
  </si>
  <si>
    <t>LOWER</t>
  </si>
  <si>
    <t>PROPER</t>
  </si>
  <si>
    <t>LEN</t>
  </si>
  <si>
    <t>TRIM</t>
  </si>
  <si>
    <t>CONCATENATE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</si>
</sst>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₦-466]\ * #,##0.00_-;\-[$₦-466]\ * #,##0.00_-;_-[$₦-46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4" fontId="1" fillId="2" borderId="1" xfId="0" applyNumberFormat="1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44" fontId="0" fillId="0" borderId="1" xfId="0" applyNumberFormat="1" applyBorder="1"/>
    <xf numFmtId="49" fontId="0" fillId="0" borderId="1" xfId="0" applyNumberFormat="1" applyBorder="1"/>
    <xf numFmtId="49" fontId="0" fillId="0" borderId="0" xfId="0" applyNumberFormat="1"/>
    <xf numFmtId="49" fontId="3" fillId="3" borderId="1" xfId="0" applyNumberFormat="1" applyFont="1" applyFill="1" applyBorder="1"/>
    <xf numFmtId="44" fontId="3" fillId="3" borderId="1" xfId="0" applyNumberFormat="1" applyFont="1" applyFill="1" applyBorder="1"/>
    <xf numFmtId="0" fontId="3" fillId="3" borderId="1" xfId="0" applyFont="1" applyFill="1" applyBorder="1"/>
    <xf numFmtId="0" fontId="0" fillId="3" borderId="1" xfId="0" applyFill="1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9E16-ED45-4A31-8DC2-9DE7C147BE80}">
  <dimension ref="A1:E5"/>
  <sheetViews>
    <sheetView workbookViewId="0">
      <selection activeCell="F13" sqref="F13"/>
    </sheetView>
  </sheetViews>
  <sheetFormatPr defaultRowHeight="14.5" x14ac:dyDescent="0.35"/>
  <cols>
    <col min="1" max="2" width="10.54296875" customWidth="1"/>
    <col min="3" max="3" width="13.81640625" style="1" customWidth="1"/>
    <col min="4" max="4" width="18.1796875" customWidth="1"/>
    <col min="5" max="5" width="11.36328125" customWidth="1"/>
  </cols>
  <sheetData>
    <row r="1" spans="1:5" x14ac:dyDescent="0.35">
      <c r="A1" s="2" t="s">
        <v>0</v>
      </c>
      <c r="B1" s="2" t="s">
        <v>3</v>
      </c>
      <c r="C1" s="3" t="s">
        <v>1</v>
      </c>
      <c r="D1" s="4" t="s">
        <v>2</v>
      </c>
      <c r="E1" s="4" t="s">
        <v>14</v>
      </c>
    </row>
    <row r="2" spans="1:5" x14ac:dyDescent="0.35">
      <c r="A2" s="5" t="s">
        <v>4</v>
      </c>
      <c r="B2" s="5" t="s">
        <v>7</v>
      </c>
      <c r="C2" s="6">
        <v>2000</v>
      </c>
      <c r="D2" s="7">
        <v>44318</v>
      </c>
      <c r="E2" s="5" t="s">
        <v>10</v>
      </c>
    </row>
    <row r="3" spans="1:5" x14ac:dyDescent="0.35">
      <c r="A3" s="5" t="s">
        <v>5</v>
      </c>
      <c r="B3" s="5" t="s">
        <v>8</v>
      </c>
      <c r="C3" s="6">
        <v>1500</v>
      </c>
      <c r="D3" s="7">
        <v>44474</v>
      </c>
      <c r="E3" s="5" t="s">
        <v>11</v>
      </c>
    </row>
    <row r="4" spans="1:5" x14ac:dyDescent="0.35">
      <c r="A4" s="5" t="s">
        <v>6</v>
      </c>
      <c r="B4" s="5" t="s">
        <v>9</v>
      </c>
      <c r="C4" s="6">
        <v>2500</v>
      </c>
      <c r="D4" s="7">
        <v>44503</v>
      </c>
      <c r="E4" s="5" t="s">
        <v>12</v>
      </c>
    </row>
    <row r="5" spans="1:5" x14ac:dyDescent="0.35">
      <c r="A5" s="5" t="s">
        <v>6</v>
      </c>
      <c r="B5" s="5" t="s">
        <v>9</v>
      </c>
      <c r="C5" s="6">
        <v>2300</v>
      </c>
      <c r="D5" s="7">
        <v>44533</v>
      </c>
      <c r="E5" s="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0CC3-B9AF-40EE-A2E6-275A83B1B014}">
  <dimension ref="A1:E5"/>
  <sheetViews>
    <sheetView workbookViewId="0">
      <selection activeCell="D14" sqref="D14"/>
    </sheetView>
  </sheetViews>
  <sheetFormatPr defaultRowHeight="14.5" x14ac:dyDescent="0.35"/>
  <cols>
    <col min="1" max="2" width="10.54296875" customWidth="1"/>
    <col min="3" max="3" width="13.81640625" style="1" customWidth="1"/>
    <col min="4" max="4" width="18.1796875" customWidth="1"/>
    <col min="5" max="5" width="12.08984375" customWidth="1"/>
  </cols>
  <sheetData>
    <row r="1" spans="1:5" x14ac:dyDescent="0.35">
      <c r="A1" s="2" t="s">
        <v>0</v>
      </c>
      <c r="B1" s="2" t="s">
        <v>3</v>
      </c>
      <c r="C1" s="3" t="s">
        <v>1</v>
      </c>
      <c r="D1" s="4" t="s">
        <v>2</v>
      </c>
      <c r="E1" s="4" t="s">
        <v>14</v>
      </c>
    </row>
    <row r="2" spans="1:5" x14ac:dyDescent="0.35">
      <c r="A2" s="5" t="s">
        <v>4</v>
      </c>
      <c r="B2" s="5" t="s">
        <v>7</v>
      </c>
      <c r="C2" s="6">
        <v>2000</v>
      </c>
      <c r="D2" s="7">
        <v>44318</v>
      </c>
      <c r="E2" s="5" t="s">
        <v>10</v>
      </c>
    </row>
    <row r="3" spans="1:5" x14ac:dyDescent="0.35">
      <c r="A3" s="5" t="s">
        <v>5</v>
      </c>
      <c r="B3" s="5" t="s">
        <v>8</v>
      </c>
      <c r="C3" s="6">
        <v>1500</v>
      </c>
      <c r="D3" s="7">
        <v>44474</v>
      </c>
      <c r="E3" s="5" t="s">
        <v>11</v>
      </c>
    </row>
    <row r="4" spans="1:5" x14ac:dyDescent="0.35">
      <c r="A4" s="5" t="s">
        <v>6</v>
      </c>
      <c r="B4" s="5" t="s">
        <v>9</v>
      </c>
      <c r="C4" s="6">
        <v>2500</v>
      </c>
      <c r="D4" s="7">
        <v>44503</v>
      </c>
      <c r="E4" s="5" t="s">
        <v>12</v>
      </c>
    </row>
    <row r="5" spans="1:5" x14ac:dyDescent="0.35">
      <c r="A5" s="5" t="s">
        <v>6</v>
      </c>
      <c r="B5" s="5" t="s">
        <v>9</v>
      </c>
      <c r="C5" s="6">
        <v>2300</v>
      </c>
      <c r="D5" s="7">
        <v>44533</v>
      </c>
      <c r="E5" s="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9AB8-C571-4C97-B4B4-A02C28AF6D33}">
  <dimension ref="A1:S14"/>
  <sheetViews>
    <sheetView tabSelected="1" workbookViewId="0">
      <selection activeCell="J10" sqref="J10"/>
    </sheetView>
  </sheetViews>
  <sheetFormatPr defaultRowHeight="14.5" x14ac:dyDescent="0.35"/>
  <cols>
    <col min="1" max="1" width="14.1796875" style="10" customWidth="1"/>
    <col min="2" max="2" width="13.26953125" customWidth="1"/>
    <col min="3" max="3" width="12.453125" customWidth="1"/>
    <col min="4" max="4" width="3.6328125" customWidth="1"/>
    <col min="5" max="5" width="12.453125" customWidth="1"/>
    <col min="6" max="6" width="13.54296875" bestFit="1" customWidth="1"/>
    <col min="7" max="7" width="2.81640625" customWidth="1"/>
    <col min="8" max="8" width="5.36328125" customWidth="1"/>
    <col min="9" max="9" width="13.08984375" customWidth="1"/>
    <col min="10" max="10" width="20.1796875" customWidth="1"/>
    <col min="11" max="11" width="13.453125" customWidth="1"/>
    <col min="12" max="12" width="12" customWidth="1"/>
    <col min="13" max="13" width="10.6328125" customWidth="1"/>
    <col min="14" max="14" width="17" customWidth="1"/>
    <col min="15" max="15" width="10.08984375" bestFit="1" customWidth="1"/>
    <col min="16" max="16" width="18.08984375" customWidth="1"/>
    <col min="17" max="17" width="11.453125" customWidth="1"/>
    <col min="18" max="18" width="17.453125" customWidth="1"/>
  </cols>
  <sheetData>
    <row r="1" spans="1:19" x14ac:dyDescent="0.35">
      <c r="A1" s="11" t="s">
        <v>15</v>
      </c>
      <c r="B1" s="12" t="s">
        <v>16</v>
      </c>
      <c r="C1" s="13" t="s">
        <v>17</v>
      </c>
      <c r="D1" s="13"/>
      <c r="E1" s="13"/>
      <c r="F1" s="13"/>
      <c r="G1" s="13"/>
      <c r="H1" s="13"/>
      <c r="I1" s="13"/>
      <c r="J1" s="13"/>
      <c r="K1" s="14"/>
      <c r="L1" s="11" t="s">
        <v>30</v>
      </c>
      <c r="M1" s="11"/>
      <c r="N1" s="11" t="s">
        <v>31</v>
      </c>
      <c r="O1" s="11"/>
      <c r="P1" s="11" t="s">
        <v>32</v>
      </c>
      <c r="Q1" s="11"/>
      <c r="R1" s="11" t="s">
        <v>33</v>
      </c>
      <c r="S1" s="11"/>
    </row>
    <row r="2" spans="1:19" x14ac:dyDescent="0.35">
      <c r="A2" s="9" t="s">
        <v>18</v>
      </c>
      <c r="B2" s="8">
        <v>5000</v>
      </c>
      <c r="C2" s="5">
        <v>12</v>
      </c>
      <c r="D2" s="5"/>
      <c r="E2" s="5" t="s">
        <v>34</v>
      </c>
      <c r="F2" s="8">
        <f>SUM(B2:B13)</f>
        <v>53601</v>
      </c>
      <c r="G2" s="5"/>
      <c r="H2" s="5" t="s">
        <v>48</v>
      </c>
      <c r="I2" s="5" t="s">
        <v>50</v>
      </c>
      <c r="J2" s="5" t="str">
        <f>UPPER(H2)</f>
        <v>BOY</v>
      </c>
      <c r="K2" s="5"/>
      <c r="L2" s="8">
        <f>B2</f>
        <v>5000</v>
      </c>
      <c r="M2" s="8">
        <f>C2</f>
        <v>12</v>
      </c>
      <c r="N2" s="8">
        <f>$B$2</f>
        <v>5000</v>
      </c>
      <c r="O2" s="8">
        <f>$B$2</f>
        <v>5000</v>
      </c>
      <c r="P2" s="8">
        <f>$B2</f>
        <v>5000</v>
      </c>
      <c r="Q2" s="8">
        <f t="shared" ref="Q2" si="0">$B2</f>
        <v>5000</v>
      </c>
      <c r="R2" s="8">
        <f>B$2</f>
        <v>5000</v>
      </c>
      <c r="S2" s="8">
        <f>C$2</f>
        <v>12</v>
      </c>
    </row>
    <row r="3" spans="1:19" x14ac:dyDescent="0.35">
      <c r="A3" s="9" t="s">
        <v>19</v>
      </c>
      <c r="B3" s="8">
        <v>2500</v>
      </c>
      <c r="C3" s="5">
        <v>15</v>
      </c>
      <c r="D3" s="5"/>
      <c r="E3" s="5" t="s">
        <v>35</v>
      </c>
      <c r="F3" s="8">
        <f>AVERAGE(B2:B13)</f>
        <v>4466.75</v>
      </c>
      <c r="G3" s="5"/>
      <c r="H3" s="5" t="s">
        <v>49</v>
      </c>
      <c r="I3" s="5" t="s">
        <v>51</v>
      </c>
      <c r="J3" s="5" t="str">
        <f>LOWER(H3)</f>
        <v xml:space="preserve">boy  </v>
      </c>
      <c r="K3" s="5"/>
      <c r="L3" s="8">
        <f t="shared" ref="L3:L13" si="1">B3</f>
        <v>2500</v>
      </c>
      <c r="M3" s="5"/>
      <c r="N3" s="8">
        <f t="shared" ref="N3:N13" si="2">$B$2</f>
        <v>5000</v>
      </c>
      <c r="O3" s="5"/>
      <c r="P3" s="8">
        <f t="shared" ref="P3:P13" si="3">$B3</f>
        <v>2500</v>
      </c>
      <c r="Q3" s="5"/>
      <c r="R3" s="8">
        <f t="shared" ref="R3:R13" si="4">B$2</f>
        <v>5000</v>
      </c>
      <c r="S3" s="5"/>
    </row>
    <row r="4" spans="1:19" x14ac:dyDescent="0.35">
      <c r="A4" s="9" t="s">
        <v>20</v>
      </c>
      <c r="B4" s="8">
        <v>3200</v>
      </c>
      <c r="C4" s="5">
        <v>13</v>
      </c>
      <c r="D4" s="5"/>
      <c r="E4" s="5" t="s">
        <v>36</v>
      </c>
      <c r="F4" s="5">
        <f>MIN(C2:C13)</f>
        <v>10</v>
      </c>
      <c r="G4" s="5"/>
      <c r="H4" s="5"/>
      <c r="I4" s="5" t="s">
        <v>52</v>
      </c>
      <c r="J4" s="5" t="str">
        <f>PROPER(H2)</f>
        <v>Boy</v>
      </c>
      <c r="K4" s="5"/>
      <c r="L4" s="8">
        <f t="shared" si="1"/>
        <v>3200</v>
      </c>
      <c r="M4" s="5"/>
      <c r="N4" s="8">
        <f t="shared" si="2"/>
        <v>5000</v>
      </c>
      <c r="O4" s="5"/>
      <c r="P4" s="8">
        <f t="shared" si="3"/>
        <v>3200</v>
      </c>
      <c r="Q4" s="5"/>
      <c r="R4" s="8">
        <f t="shared" si="4"/>
        <v>5000</v>
      </c>
      <c r="S4" s="5"/>
    </row>
    <row r="5" spans="1:19" x14ac:dyDescent="0.35">
      <c r="A5" s="9" t="s">
        <v>21</v>
      </c>
      <c r="B5" s="8">
        <v>1450</v>
      </c>
      <c r="C5" s="5">
        <v>13</v>
      </c>
      <c r="D5" s="5"/>
      <c r="E5" s="5" t="s">
        <v>37</v>
      </c>
      <c r="F5" s="8">
        <f>MAX(B2:B13)</f>
        <v>8900</v>
      </c>
      <c r="G5" s="5"/>
      <c r="H5" s="5"/>
      <c r="I5" s="5" t="s">
        <v>53</v>
      </c>
      <c r="J5" s="5">
        <f>LEN(H3)</f>
        <v>5</v>
      </c>
      <c r="K5" s="5"/>
      <c r="L5" s="8">
        <f t="shared" si="1"/>
        <v>1450</v>
      </c>
      <c r="M5" s="5"/>
      <c r="N5" s="8">
        <f t="shared" si="2"/>
        <v>5000</v>
      </c>
      <c r="O5" s="5"/>
      <c r="P5" s="8">
        <f t="shared" si="3"/>
        <v>1450</v>
      </c>
      <c r="Q5" s="5"/>
      <c r="R5" s="8">
        <f t="shared" si="4"/>
        <v>5000</v>
      </c>
      <c r="S5" s="5"/>
    </row>
    <row r="6" spans="1:19" x14ac:dyDescent="0.35">
      <c r="A6" s="9" t="s">
        <v>22</v>
      </c>
      <c r="B6" s="8">
        <v>5400</v>
      </c>
      <c r="C6" s="5">
        <v>14</v>
      </c>
      <c r="D6" s="5"/>
      <c r="E6" s="5" t="s">
        <v>38</v>
      </c>
      <c r="F6" s="5">
        <f>COUNT(B2:B13)</f>
        <v>12</v>
      </c>
      <c r="G6" s="5"/>
      <c r="H6" s="5"/>
      <c r="I6" s="5" t="s">
        <v>53</v>
      </c>
      <c r="J6" s="5">
        <f>LEN(H2)</f>
        <v>3</v>
      </c>
      <c r="K6" s="5"/>
      <c r="L6" s="8">
        <f t="shared" si="1"/>
        <v>5400</v>
      </c>
      <c r="M6" s="5"/>
      <c r="N6" s="8">
        <f t="shared" si="2"/>
        <v>5000</v>
      </c>
      <c r="O6" s="5"/>
      <c r="P6" s="8">
        <f t="shared" si="3"/>
        <v>5400</v>
      </c>
      <c r="Q6" s="5"/>
      <c r="R6" s="8">
        <f t="shared" si="4"/>
        <v>5000</v>
      </c>
      <c r="S6" s="5"/>
    </row>
    <row r="7" spans="1:19" x14ac:dyDescent="0.35">
      <c r="A7" s="9" t="s">
        <v>23</v>
      </c>
      <c r="B7" s="8">
        <v>3450</v>
      </c>
      <c r="C7" s="5">
        <v>15</v>
      </c>
      <c r="D7" s="5"/>
      <c r="E7" s="5" t="s">
        <v>41</v>
      </c>
      <c r="F7" s="5">
        <f>COUNTA(C2:C14)</f>
        <v>13</v>
      </c>
      <c r="G7" s="5"/>
      <c r="H7" s="5"/>
      <c r="I7" s="5" t="s">
        <v>54</v>
      </c>
      <c r="J7" s="5" t="str">
        <f>TRIM(H3)</f>
        <v>BOY</v>
      </c>
      <c r="K7" s="5"/>
      <c r="L7" s="8">
        <f t="shared" si="1"/>
        <v>3450</v>
      </c>
      <c r="M7" s="5"/>
      <c r="N7" s="8">
        <f t="shared" si="2"/>
        <v>5000</v>
      </c>
      <c r="O7" s="5"/>
      <c r="P7" s="8">
        <f t="shared" si="3"/>
        <v>3450</v>
      </c>
      <c r="Q7" s="5"/>
      <c r="R7" s="8">
        <f t="shared" si="4"/>
        <v>5000</v>
      </c>
      <c r="S7" s="5"/>
    </row>
    <row r="8" spans="1:19" x14ac:dyDescent="0.35">
      <c r="A8" s="9" t="s">
        <v>24</v>
      </c>
      <c r="B8" s="8">
        <v>2134</v>
      </c>
      <c r="C8" s="5">
        <v>13</v>
      </c>
      <c r="D8" s="5"/>
      <c r="E8" s="5" t="s">
        <v>42</v>
      </c>
      <c r="F8" s="5">
        <f>ROUND(3.567,2)</f>
        <v>3.57</v>
      </c>
      <c r="G8" s="5"/>
      <c r="H8" s="5"/>
      <c r="I8" s="5" t="s">
        <v>53</v>
      </c>
      <c r="J8" s="5">
        <f>LEN(J7)</f>
        <v>3</v>
      </c>
      <c r="K8" s="5"/>
      <c r="L8" s="8">
        <f t="shared" si="1"/>
        <v>2134</v>
      </c>
      <c r="M8" s="5"/>
      <c r="N8" s="8">
        <f t="shared" si="2"/>
        <v>5000</v>
      </c>
      <c r="O8" s="5"/>
      <c r="P8" s="8">
        <f t="shared" si="3"/>
        <v>2134</v>
      </c>
      <c r="Q8" s="5"/>
      <c r="R8" s="8">
        <f t="shared" si="4"/>
        <v>5000</v>
      </c>
      <c r="S8" s="5"/>
    </row>
    <row r="9" spans="1:19" x14ac:dyDescent="0.35">
      <c r="A9" s="9" t="s">
        <v>25</v>
      </c>
      <c r="B9" s="8">
        <v>7000</v>
      </c>
      <c r="C9" s="5">
        <v>10</v>
      </c>
      <c r="D9" s="5"/>
      <c r="E9" s="5" t="s">
        <v>43</v>
      </c>
      <c r="F9" s="5">
        <f>ROUNDUP(3.501,0)</f>
        <v>4</v>
      </c>
      <c r="G9" s="5"/>
      <c r="H9" s="5"/>
      <c r="I9" s="5" t="s">
        <v>55</v>
      </c>
      <c r="J9" s="5" t="str">
        <f>A6&amp;" "&amp;J4</f>
        <v>May Boy</v>
      </c>
      <c r="K9" s="5"/>
      <c r="L9" s="8">
        <f t="shared" si="1"/>
        <v>7000</v>
      </c>
      <c r="M9" s="5"/>
      <c r="N9" s="8">
        <f t="shared" si="2"/>
        <v>5000</v>
      </c>
      <c r="O9" s="5"/>
      <c r="P9" s="8">
        <f t="shared" si="3"/>
        <v>7000</v>
      </c>
      <c r="Q9" s="5"/>
      <c r="R9" s="8">
        <f t="shared" si="4"/>
        <v>5000</v>
      </c>
      <c r="S9" s="5"/>
    </row>
    <row r="10" spans="1:19" x14ac:dyDescent="0.35">
      <c r="A10" s="9" t="s">
        <v>26</v>
      </c>
      <c r="B10" s="8">
        <v>4567</v>
      </c>
      <c r="C10" s="5">
        <v>12</v>
      </c>
      <c r="D10" s="5"/>
      <c r="E10" s="5" t="s">
        <v>44</v>
      </c>
      <c r="F10" s="5">
        <f>ROUNDDOWN(3.999,0)</f>
        <v>3</v>
      </c>
      <c r="G10" s="5"/>
      <c r="H10" s="5"/>
      <c r="I10" s="5"/>
      <c r="J10" s="5"/>
      <c r="K10" s="5"/>
      <c r="L10" s="8">
        <f t="shared" si="1"/>
        <v>4567</v>
      </c>
      <c r="M10" s="5"/>
      <c r="N10" s="8">
        <f t="shared" si="2"/>
        <v>5000</v>
      </c>
      <c r="O10" s="5"/>
      <c r="P10" s="8">
        <f t="shared" si="3"/>
        <v>4567</v>
      </c>
      <c r="Q10" s="5"/>
      <c r="R10" s="8">
        <f t="shared" si="4"/>
        <v>5000</v>
      </c>
      <c r="S10" s="5"/>
    </row>
    <row r="11" spans="1:19" x14ac:dyDescent="0.35">
      <c r="A11" s="9" t="s">
        <v>27</v>
      </c>
      <c r="B11" s="8">
        <v>8900</v>
      </c>
      <c r="C11" s="5">
        <v>10</v>
      </c>
      <c r="D11" s="5"/>
      <c r="E11" s="5" t="s">
        <v>45</v>
      </c>
      <c r="F11" s="5">
        <f>ROUND(1234,-2)</f>
        <v>1200</v>
      </c>
      <c r="G11" s="5"/>
      <c r="H11" s="5"/>
      <c r="I11" s="5"/>
      <c r="J11" s="5"/>
      <c r="K11" s="5"/>
      <c r="L11" s="8">
        <f t="shared" si="1"/>
        <v>8900</v>
      </c>
      <c r="M11" s="5"/>
      <c r="N11" s="8">
        <f t="shared" si="2"/>
        <v>5000</v>
      </c>
      <c r="O11" s="5"/>
      <c r="P11" s="8">
        <f t="shared" si="3"/>
        <v>8900</v>
      </c>
      <c r="Q11" s="5"/>
      <c r="R11" s="8">
        <f t="shared" si="4"/>
        <v>5000</v>
      </c>
      <c r="S11" s="5"/>
    </row>
    <row r="12" spans="1:19" x14ac:dyDescent="0.35">
      <c r="A12" s="9" t="s">
        <v>28</v>
      </c>
      <c r="B12" s="8">
        <v>2000</v>
      </c>
      <c r="C12" s="5">
        <v>10</v>
      </c>
      <c r="D12" s="5"/>
      <c r="E12" s="5" t="s">
        <v>46</v>
      </c>
      <c r="F12" s="7">
        <f ca="1">TODAY()</f>
        <v>46256</v>
      </c>
      <c r="G12" s="5"/>
      <c r="H12" s="5"/>
      <c r="I12" s="5"/>
      <c r="J12" s="5"/>
      <c r="K12" s="5"/>
      <c r="L12" s="8">
        <f t="shared" si="1"/>
        <v>2000</v>
      </c>
      <c r="M12" s="5"/>
      <c r="N12" s="8">
        <f t="shared" si="2"/>
        <v>5000</v>
      </c>
      <c r="O12" s="5"/>
      <c r="P12" s="8">
        <f t="shared" si="3"/>
        <v>2000</v>
      </c>
      <c r="Q12" s="5"/>
      <c r="R12" s="8">
        <f t="shared" si="4"/>
        <v>5000</v>
      </c>
      <c r="S12" s="5"/>
    </row>
    <row r="13" spans="1:19" x14ac:dyDescent="0.35">
      <c r="A13" s="9" t="s">
        <v>29</v>
      </c>
      <c r="B13" s="8">
        <v>8000</v>
      </c>
      <c r="C13" s="5">
        <v>18</v>
      </c>
      <c r="D13" s="5"/>
      <c r="E13" s="5" t="s">
        <v>47</v>
      </c>
      <c r="F13" s="15">
        <f ca="1">NOW()</f>
        <v>46256.249083449075</v>
      </c>
      <c r="G13" s="5"/>
      <c r="H13" s="5"/>
      <c r="I13" s="5"/>
      <c r="J13" s="5"/>
      <c r="K13" s="5"/>
      <c r="L13" s="8">
        <f t="shared" si="1"/>
        <v>8000</v>
      </c>
      <c r="M13" s="5"/>
      <c r="N13" s="8">
        <f t="shared" si="2"/>
        <v>5000</v>
      </c>
      <c r="O13" s="5"/>
      <c r="P13" s="8">
        <f t="shared" si="3"/>
        <v>8000</v>
      </c>
      <c r="Q13" s="5"/>
      <c r="R13" s="8">
        <f t="shared" si="4"/>
        <v>5000</v>
      </c>
      <c r="S13" s="5"/>
    </row>
    <row r="14" spans="1:19" x14ac:dyDescent="0.35">
      <c r="A14" s="9" t="s">
        <v>39</v>
      </c>
      <c r="B14" s="9"/>
      <c r="C14" s="9" t="s">
        <v>40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 DATA</vt:lpstr>
      <vt:lpstr>STAFF DATA (2)</vt:lpstr>
      <vt:lpstr>STAFF 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EBRUPHIYO ETATA</dc:creator>
  <cp:lastModifiedBy>JOYCE EBRUPHIYO ETATA</cp:lastModifiedBy>
  <dcterms:created xsi:type="dcterms:W3CDTF">2026-08-20T20:57:37Z</dcterms:created>
  <dcterms:modified xsi:type="dcterms:W3CDTF">2026-08-22T05:08:27Z</dcterms:modified>
</cp:coreProperties>
</file>